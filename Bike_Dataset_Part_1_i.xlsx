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HP\OneDrive\Desktop\Final\"/>
    </mc:Choice>
  </mc:AlternateContent>
  <xr:revisionPtr revIDLastSave="0" documentId="13_ncr:1_{FE2C6815-D8EF-4D39-8EEE-78BF349A3D17}" xr6:coauthVersionLast="47" xr6:coauthVersionMax="47" xr10:uidLastSave="{00000000-0000-0000-0000-000000000000}"/>
  <bookViews>
    <workbookView xWindow="-108" yWindow="-108" windowWidth="23256" windowHeight="12456" activeTab="1" xr2:uid="{00000000-000D-0000-FFFF-FFFF00000000}"/>
  </bookViews>
  <sheets>
    <sheet name="Dataset_1" sheetId="2" r:id="rId1"/>
    <sheet name="Modified_Dataset_1" sheetId="1" r:id="rId2"/>
    <sheet name="Analysis" sheetId="3" r:id="rId3"/>
    <sheet name="Forecast_Sheet" sheetId="5" r:id="rId4"/>
  </sheets>
  <definedNames>
    <definedName name="Slicer_date">#N/A</definedName>
  </definedNames>
  <calcPr calcId="191029"/>
  <pivotCaches>
    <pivotCache cacheId="0"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0" i="5" l="1"/>
  <c r="C38" i="5"/>
  <c r="C31" i="5"/>
  <c r="C32" i="5"/>
  <c r="C33" i="5"/>
  <c r="C34" i="5"/>
  <c r="C35" i="5"/>
  <c r="C36" i="5"/>
  <c r="C37" i="5"/>
  <c r="E37" i="5" l="1"/>
  <c r="D33" i="5"/>
  <c r="E30" i="5"/>
  <c r="E31" i="5"/>
  <c r="D38" i="5"/>
  <c r="D30" i="5"/>
  <c r="E36" i="5"/>
  <c r="E32" i="5"/>
  <c r="E35" i="5"/>
  <c r="E38" i="5"/>
  <c r="D37" i="5"/>
  <c r="D36" i="5"/>
  <c r="D32" i="5"/>
  <c r="D31" i="5"/>
  <c r="D34" i="5"/>
  <c r="E33" i="5"/>
  <c r="D35" i="5"/>
  <c r="E34" i="5"/>
</calcChain>
</file>

<file path=xl/sharedStrings.xml><?xml version="1.0" encoding="utf-8"?>
<sst xmlns="http://schemas.openxmlformats.org/spreadsheetml/2006/main" count="2497" uniqueCount="36">
  <si>
    <t>instant</t>
  </si>
  <si>
    <t>date</t>
  </si>
  <si>
    <t>season</t>
  </si>
  <si>
    <t>hour</t>
  </si>
  <si>
    <t>holiday</t>
  </si>
  <si>
    <t>weekday</t>
  </si>
  <si>
    <t>weather_situation</t>
  </si>
  <si>
    <t>temperature</t>
  </si>
  <si>
    <t>Weather_Description</t>
  </si>
  <si>
    <t>Time_of_Day</t>
  </si>
  <si>
    <t>Temperature_Level</t>
  </si>
  <si>
    <t>Weekend</t>
  </si>
  <si>
    <t>Clear</t>
  </si>
  <si>
    <t>Night</t>
  </si>
  <si>
    <t>Cold</t>
  </si>
  <si>
    <t>Yes</t>
  </si>
  <si>
    <t>Mist/Cloudy</t>
  </si>
  <si>
    <t>Morning</t>
  </si>
  <si>
    <t>Mild</t>
  </si>
  <si>
    <t>Warm</t>
  </si>
  <si>
    <t>Afternoon</t>
  </si>
  <si>
    <t>Hot</t>
  </si>
  <si>
    <t>Evening</t>
  </si>
  <si>
    <t>Light Rain/Snow</t>
  </si>
  <si>
    <t>No</t>
  </si>
  <si>
    <t>Very Cold</t>
  </si>
  <si>
    <t>Heavy Rain/Storm</t>
  </si>
  <si>
    <t>Row Labels</t>
  </si>
  <si>
    <t>Grand Total</t>
  </si>
  <si>
    <t>Average of temperature</t>
  </si>
  <si>
    <t>Weather</t>
  </si>
  <si>
    <t>Min of temperature</t>
  </si>
  <si>
    <t>Max of temperature</t>
  </si>
  <si>
    <t>Forecast(temperature)</t>
  </si>
  <si>
    <t>Lower Confidence Bound(temperature)</t>
  </si>
  <si>
    <t>Upper Confidence Bound(temperature)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</si>
</sst>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2" x14ac:knownFonts="1">
    <font>
      <sz val="11"/>
      <color theme="1"/>
      <name val="Calibri"/>
      <family val="2"/>
      <scheme val="minor"/>
    </font>
    <font>
      <sz val="10"/>
      <color theme="1"/>
      <name val="Calibri"/>
      <scheme val="minor"/>
    </font>
  </fonts>
  <fills count="3">
    <fill>
      <patternFill patternType="none"/>
    </fill>
    <fill>
      <patternFill patternType="gray125"/>
    </fill>
    <fill>
      <patternFill patternType="solid">
        <fgColor rgb="FF00B0F0"/>
        <bgColor indexed="64"/>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xf numFmtId="14" fontId="0" fillId="0" borderId="0" xfId="0" applyNumberFormat="1"/>
    <xf numFmtId="0" fontId="0" fillId="2" borderId="0" xfId="0" applyFill="1"/>
    <xf numFmtId="0" fontId="0" fillId="0" borderId="0" xfId="0" pivotButton="1"/>
    <xf numFmtId="0" fontId="0" fillId="0" borderId="0" xfId="0" applyAlignment="1">
      <alignment horizontal="left"/>
    </xf>
    <xf numFmtId="0" fontId="0" fillId="0" borderId="0" xfId="0" applyAlignment="1">
      <alignment horizontal="left" indent="1"/>
    </xf>
    <xf numFmtId="14" fontId="0" fillId="0" borderId="0" xfId="0" applyNumberFormat="1" applyAlignment="1">
      <alignment horizontal="left"/>
    </xf>
    <xf numFmtId="164" fontId="0" fillId="0" borderId="0" xfId="0" applyNumberFormat="1"/>
    <xf numFmtId="2" fontId="0" fillId="0" borderId="0" xfId="0" applyNumberFormat="1"/>
    <xf numFmtId="2" fontId="1" fillId="0" borderId="0" xfId="0" applyNumberFormat="1" applyFont="1"/>
    <xf numFmtId="1" fontId="1" fillId="0" borderId="0" xfId="0" applyNumberFormat="1" applyFont="1"/>
    <xf numFmtId="1" fontId="0" fillId="0" borderId="0" xfId="0" applyNumberFormat="1"/>
    <xf numFmtId="14" fontId="1" fillId="0" borderId="0" xfId="0" applyNumberFormat="1" applyFont="1"/>
  </cellXfs>
  <cellStyles count="1">
    <cellStyle name="Normal" xfId="0" builtinId="0"/>
  </cellStyles>
  <dxfs count="20">
    <dxf>
      <numFmt numFmtId="2" formatCode="0.00"/>
    </dxf>
    <dxf>
      <numFmt numFmtId="1" formatCode="0"/>
    </dxf>
    <dxf>
      <numFmt numFmtId="1" formatCode="0"/>
    </dxf>
    <dxf>
      <numFmt numFmtId="1" formatCode="0"/>
    </dxf>
    <dxf>
      <numFmt numFmtId="1" formatCode="0"/>
    </dxf>
    <dxf>
      <numFmt numFmtId="19" formatCode="dd/mm/yyyy"/>
    </dxf>
    <dxf>
      <numFmt numFmtId="1" formatCode="0"/>
    </dxf>
    <dxf>
      <font>
        <b val="0"/>
        <i val="0"/>
        <strike val="0"/>
        <condense val="0"/>
        <extend val="0"/>
        <outline val="0"/>
        <shadow val="0"/>
        <u val="none"/>
        <vertAlign val="baseline"/>
        <sz val="10"/>
        <color theme="1"/>
        <name val="Calibri"/>
        <scheme val="minor"/>
      </font>
      <numFmt numFmtId="2" formatCode="0.00"/>
    </dxf>
    <dxf>
      <font>
        <b val="0"/>
        <i val="0"/>
        <strike val="0"/>
        <condense val="0"/>
        <extend val="0"/>
        <outline val="0"/>
        <shadow val="0"/>
        <u val="none"/>
        <vertAlign val="baseline"/>
        <sz val="10"/>
        <color theme="1"/>
        <name val="Calibri"/>
        <scheme val="minor"/>
      </font>
      <numFmt numFmtId="1" formatCode="0"/>
    </dxf>
    <dxf>
      <font>
        <b val="0"/>
        <i val="0"/>
        <strike val="0"/>
        <condense val="0"/>
        <extend val="0"/>
        <outline val="0"/>
        <shadow val="0"/>
        <u val="none"/>
        <vertAlign val="baseline"/>
        <sz val="10"/>
        <color theme="1"/>
        <name val="Calibri"/>
        <scheme val="minor"/>
      </font>
      <numFmt numFmtId="19" formatCode="dd/mm/yyyy"/>
    </dxf>
    <dxf>
      <font>
        <b val="0"/>
        <i val="0"/>
        <strike val="0"/>
        <condense val="0"/>
        <extend val="0"/>
        <outline val="0"/>
        <shadow val="0"/>
        <u val="none"/>
        <vertAlign val="baseline"/>
        <sz val="10"/>
        <color theme="1"/>
        <name val="Calibri"/>
        <scheme val="minor"/>
      </font>
      <numFmt numFmtId="1" formatCode="0"/>
    </dxf>
    <dxf>
      <font>
        <b val="0"/>
        <i val="0"/>
        <strike val="0"/>
        <condense val="0"/>
        <extend val="0"/>
        <outline val="0"/>
        <shadow val="0"/>
        <u val="none"/>
        <vertAlign val="baseline"/>
        <sz val="10"/>
        <color theme="1"/>
        <name val="Calibri"/>
        <scheme val="minor"/>
      </font>
      <numFmt numFmtId="1" formatCode="0"/>
    </dxf>
    <dxf>
      <font>
        <b val="0"/>
        <i val="0"/>
        <strike val="0"/>
        <condense val="0"/>
        <extend val="0"/>
        <outline val="0"/>
        <shadow val="0"/>
        <u val="none"/>
        <vertAlign val="baseline"/>
        <sz val="10"/>
        <color theme="1"/>
        <name val="Calibri"/>
        <scheme val="minor"/>
      </font>
      <numFmt numFmtId="1" formatCode="0"/>
    </dxf>
    <dxf>
      <font>
        <b val="0"/>
        <i val="0"/>
        <strike val="0"/>
        <condense val="0"/>
        <extend val="0"/>
        <outline val="0"/>
        <shadow val="0"/>
        <u val="none"/>
        <vertAlign val="baseline"/>
        <sz val="10"/>
        <color theme="1"/>
        <name val="Calibri"/>
        <scheme val="minor"/>
      </font>
    </dxf>
    <dxf>
      <font>
        <b val="0"/>
        <i val="0"/>
        <strike val="0"/>
        <condense val="0"/>
        <extend val="0"/>
        <outline val="0"/>
        <shadow val="0"/>
        <u val="none"/>
        <vertAlign val="baseline"/>
        <sz val="10"/>
        <color theme="1"/>
        <name val="Calibri"/>
        <scheme val="minor"/>
      </font>
      <numFmt numFmtId="1" formatCode="0"/>
    </dxf>
    <dxf>
      <numFmt numFmtId="2" formatCode="0.00"/>
    </dxf>
    <dxf>
      <numFmt numFmtId="2" formatCode="0.00"/>
    </dxf>
    <dxf>
      <numFmt numFmtId="164" formatCode="dd\-mm\-yyyy"/>
    </dxf>
    <dxf>
      <font>
        <b val="0"/>
        <i val="0"/>
        <strike val="0"/>
        <condense val="0"/>
        <extend val="0"/>
        <outline val="0"/>
        <shadow val="0"/>
        <u val="none"/>
        <vertAlign val="baseline"/>
        <sz val="10"/>
        <color theme="1"/>
        <name val="Calibri"/>
        <scheme val="minor"/>
      </font>
    </dxf>
    <dxf>
      <font>
        <b val="0"/>
        <i val="0"/>
        <strike val="0"/>
        <condense val="0"/>
        <extend val="0"/>
        <outline val="0"/>
        <shadow val="0"/>
        <u val="none"/>
        <vertAlign val="baseline"/>
        <sz val="10"/>
        <color theme="1"/>
        <name val="Calibri"/>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[Bike_Dataset_Part_1_i.xlsx]Analysis!PivotTable1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Average Temperature by Weather Condition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Analysis!$B$40</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multiLvlStrRef>
              <c:f>Analysis!$A$41:$A$59</c:f>
              <c:multiLvlStrCache>
                <c:ptCount val="14"/>
                <c:lvl>
                  <c:pt idx="0">
                    <c:v>Cold</c:v>
                  </c:pt>
                  <c:pt idx="1">
                    <c:v>Mild</c:v>
                  </c:pt>
                  <c:pt idx="2">
                    <c:v>Very Cold</c:v>
                  </c:pt>
                  <c:pt idx="3">
                    <c:v>Warm</c:v>
                  </c:pt>
                  <c:pt idx="4">
                    <c:v>Cold</c:v>
                  </c:pt>
                  <c:pt idx="5">
                    <c:v>Cold</c:v>
                  </c:pt>
                  <c:pt idx="6">
                    <c:v>Mild</c:v>
                  </c:pt>
                  <c:pt idx="7">
                    <c:v>Very Cold</c:v>
                  </c:pt>
                  <c:pt idx="8">
                    <c:v>Warm</c:v>
                  </c:pt>
                  <c:pt idx="9">
                    <c:v>Cold</c:v>
                  </c:pt>
                  <c:pt idx="10">
                    <c:v>Hot</c:v>
                  </c:pt>
                  <c:pt idx="11">
                    <c:v>Mild</c:v>
                  </c:pt>
                  <c:pt idx="12">
                    <c:v>Very Cold</c:v>
                  </c:pt>
                  <c:pt idx="13">
                    <c:v>Warm</c:v>
                  </c:pt>
                </c:lvl>
                <c:lvl>
                  <c:pt idx="0">
                    <c:v>Clear</c:v>
                  </c:pt>
                  <c:pt idx="4">
                    <c:v>Heavy Rain/Storm</c:v>
                  </c:pt>
                  <c:pt idx="5">
                    <c:v>Light Rain/Snow</c:v>
                  </c:pt>
                  <c:pt idx="9">
                    <c:v>Mist/Cloudy</c:v>
                  </c:pt>
                </c:lvl>
              </c:multiLvlStrCache>
            </c:multiLvlStrRef>
          </c:cat>
          <c:val>
            <c:numRef>
              <c:f>Analysis!$B$41:$B$59</c:f>
              <c:numCache>
                <c:formatCode>General</c:formatCode>
                <c:ptCount val="14"/>
                <c:pt idx="0">
                  <c:v>0.19889502762430891</c:v>
                </c:pt>
                <c:pt idx="1">
                  <c:v>0.28083333333333332</c:v>
                </c:pt>
                <c:pt idx="2">
                  <c:v>0.10610687022900755</c:v>
                </c:pt>
                <c:pt idx="3">
                  <c:v>0.38749999999999996</c:v>
                </c:pt>
                <c:pt idx="4">
                  <c:v>0.22</c:v>
                </c:pt>
                <c:pt idx="5">
                  <c:v>0.19384615384615378</c:v>
                </c:pt>
                <c:pt idx="6">
                  <c:v>0.34</c:v>
                </c:pt>
                <c:pt idx="7">
                  <c:v>0.14000000000000001</c:v>
                </c:pt>
                <c:pt idx="8">
                  <c:v>0.40400000000000003</c:v>
                </c:pt>
                <c:pt idx="9">
                  <c:v>0.19327999999999965</c:v>
                </c:pt>
                <c:pt idx="10">
                  <c:v>0.46</c:v>
                </c:pt>
                <c:pt idx="11">
                  <c:v>0.29379310344827586</c:v>
                </c:pt>
                <c:pt idx="12">
                  <c:v>8.5263157894736874E-2</c:v>
                </c:pt>
                <c:pt idx="13">
                  <c:v>0.39600000000000007</c:v>
                </c:pt>
              </c:numCache>
            </c:numRef>
          </c:val>
          <c:extLst>
            <c:ext xmlns:c16="http://schemas.microsoft.com/office/drawing/2014/chart" uri="{C3380CC4-5D6E-409C-BE32-E72D297353CC}">
              <c16:uniqueId val="{00000000-0171-4991-B6ED-E9866AA11CDC}"/>
            </c:ext>
          </c:extLst>
        </c:ser>
        <c:dLbls>
          <c:dLblPos val="outEnd"/>
          <c:showLegendKey val="0"/>
          <c:showVal val="1"/>
          <c:showCatName val="0"/>
          <c:showSerName val="0"/>
          <c:showPercent val="0"/>
          <c:showBubbleSize val="0"/>
        </c:dLbls>
        <c:gapWidth val="100"/>
        <c:overlap val="-24"/>
        <c:axId val="633254079"/>
        <c:axId val="633255999"/>
      </c:barChart>
      <c:catAx>
        <c:axId val="633254079"/>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Weather</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33255999"/>
        <c:crosses val="autoZero"/>
        <c:auto val="1"/>
        <c:lblAlgn val="ctr"/>
        <c:lblOffset val="100"/>
        <c:noMultiLvlLbl val="0"/>
      </c:catAx>
      <c:valAx>
        <c:axId val="633255999"/>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Average</a:t>
                </a:r>
                <a:r>
                  <a:rPr lang="en-IN" baseline="0"/>
                  <a:t> temperature</a:t>
                </a:r>
                <a:endParaRPr lang="en-IN"/>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332540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[Bike_Dataset_Part_1_i.xlsx]Analysis!PivotTable2</c:name>
    <c:fmtId val="0"/>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Mininum</a:t>
            </a:r>
            <a:r>
              <a:rPr lang="en-IN" baseline="0"/>
              <a:t> &amp; Maximum Temperature by Date</a:t>
            </a:r>
            <a:endParaRPr lang="en-IN"/>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IN"/>
        </a:p>
      </c:txPr>
    </c:title>
    <c:autoTitleDeleted val="0"/>
    <c:pivotFmts>
      <c:pivotFmt>
        <c:idx val="0"/>
        <c:spPr>
          <a:ln w="22225" cap="rnd">
            <a:solidFill>
              <a:schemeClr val="accent1"/>
            </a:solidFill>
          </a:ln>
          <a:effectLst>
            <a:glow rad="139700">
              <a:schemeClr val="accent1">
                <a:satMod val="175000"/>
                <a:alpha val="14000"/>
              </a:schemeClr>
            </a:glow>
          </a:effectLst>
        </c:spPr>
        <c:marker>
          <c:symbol val="circle"/>
          <c:size val="4"/>
          <c:spPr>
            <a:solidFill>
              <a:schemeClr val="accent1">
                <a:tint val="77000"/>
                <a:lumMod val="60000"/>
                <a:lumOff val="40000"/>
              </a:schemeClr>
            </a:solidFill>
            <a:ln>
              <a:noFill/>
            </a:ln>
            <a:effectLst>
              <a:glow rad="63500">
                <a:schemeClr val="accent1">
                  <a:tint val="77000"/>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22225" cap="rnd">
            <a:solidFill>
              <a:schemeClr val="accent1"/>
            </a:solidFill>
          </a:ln>
          <a:effectLst>
            <a:glow rad="139700">
              <a:schemeClr val="accent1">
                <a:satMod val="175000"/>
                <a:alpha val="14000"/>
              </a:schemeClr>
            </a:glow>
          </a:effectLst>
        </c:spPr>
        <c:marker>
          <c:symbol val="circle"/>
          <c:size val="4"/>
          <c:spPr>
            <a:solidFill>
              <a:schemeClr val="accent1">
                <a:shade val="76000"/>
                <a:lumMod val="60000"/>
                <a:lumOff val="40000"/>
              </a:schemeClr>
            </a:solidFill>
            <a:ln>
              <a:noFill/>
            </a:ln>
            <a:effectLst>
              <a:glow rad="63500">
                <a:schemeClr val="accent1">
                  <a:shade val="76000"/>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Analysis!$E$40</c:f>
              <c:strCache>
                <c:ptCount val="1"/>
                <c:pt idx="0">
                  <c:v>Min of temperature</c:v>
                </c:pt>
              </c:strCache>
            </c:strRef>
          </c:tx>
          <c:spPr>
            <a:ln w="22225" cap="rnd">
              <a:solidFill>
                <a:schemeClr val="accent1">
                  <a:tint val="77000"/>
                </a:schemeClr>
              </a:solidFill>
            </a:ln>
            <a:effectLst>
              <a:glow rad="139700">
                <a:schemeClr val="accent1">
                  <a:tint val="77000"/>
                  <a:satMod val="175000"/>
                  <a:alpha val="14000"/>
                </a:schemeClr>
              </a:glow>
            </a:effectLst>
          </c:spPr>
          <c:marker>
            <c:symbol val="circle"/>
            <c:size val="4"/>
            <c:spPr>
              <a:solidFill>
                <a:schemeClr val="accent1">
                  <a:tint val="77000"/>
                  <a:lumMod val="60000"/>
                  <a:lumOff val="40000"/>
                </a:schemeClr>
              </a:solidFill>
              <a:ln>
                <a:noFill/>
              </a:ln>
              <a:effectLst>
                <a:glow rad="63500">
                  <a:schemeClr val="accent1">
                    <a:tint val="77000"/>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Analysis!$D$41:$D$69</c:f>
              <c:strCache>
                <c:ptCount val="28"/>
                <c:pt idx="0">
                  <c:v>01-01-2011</c:v>
                </c:pt>
                <c:pt idx="1">
                  <c:v>02-01-2011</c:v>
                </c:pt>
                <c:pt idx="2">
                  <c:v>03-01-2011</c:v>
                </c:pt>
                <c:pt idx="3">
                  <c:v>04-01-2011</c:v>
                </c:pt>
                <c:pt idx="4">
                  <c:v>05-01-2011</c:v>
                </c:pt>
                <c:pt idx="5">
                  <c:v>06-01-2011</c:v>
                </c:pt>
                <c:pt idx="6">
                  <c:v>07-01-2011</c:v>
                </c:pt>
                <c:pt idx="7">
                  <c:v>08-01-2011</c:v>
                </c:pt>
                <c:pt idx="8">
                  <c:v>09-01-2011</c:v>
                </c:pt>
                <c:pt idx="9">
                  <c:v>10-01-2011</c:v>
                </c:pt>
                <c:pt idx="10">
                  <c:v>11-01-2011</c:v>
                </c:pt>
                <c:pt idx="11">
                  <c:v>12-01-2011</c:v>
                </c:pt>
                <c:pt idx="12">
                  <c:v>13-01-2011</c:v>
                </c:pt>
                <c:pt idx="13">
                  <c:v>14-01-2011</c:v>
                </c:pt>
                <c:pt idx="14">
                  <c:v>15-01-2011</c:v>
                </c:pt>
                <c:pt idx="15">
                  <c:v>16-01-2011</c:v>
                </c:pt>
                <c:pt idx="16">
                  <c:v>17-01-2011</c:v>
                </c:pt>
                <c:pt idx="17">
                  <c:v>18-01-2011</c:v>
                </c:pt>
                <c:pt idx="18">
                  <c:v>19-01-2011</c:v>
                </c:pt>
                <c:pt idx="19">
                  <c:v>20-01-2011</c:v>
                </c:pt>
                <c:pt idx="20">
                  <c:v>21-01-2011</c:v>
                </c:pt>
                <c:pt idx="21">
                  <c:v>22-01-2011</c:v>
                </c:pt>
                <c:pt idx="22">
                  <c:v>23-01-2011</c:v>
                </c:pt>
                <c:pt idx="23">
                  <c:v>24-01-2011</c:v>
                </c:pt>
                <c:pt idx="24">
                  <c:v>25-01-2011</c:v>
                </c:pt>
                <c:pt idx="25">
                  <c:v>26-01-2011</c:v>
                </c:pt>
                <c:pt idx="26">
                  <c:v>27-01-2011</c:v>
                </c:pt>
                <c:pt idx="27">
                  <c:v>28-01-2011</c:v>
                </c:pt>
              </c:strCache>
            </c:strRef>
          </c:cat>
          <c:val>
            <c:numRef>
              <c:f>Analysis!$E$41:$E$69</c:f>
              <c:numCache>
                <c:formatCode>General</c:formatCode>
                <c:ptCount val="28"/>
                <c:pt idx="0">
                  <c:v>0.2</c:v>
                </c:pt>
                <c:pt idx="1">
                  <c:v>0.22</c:v>
                </c:pt>
                <c:pt idx="2">
                  <c:v>0.14000000000000001</c:v>
                </c:pt>
                <c:pt idx="3">
                  <c:v>0.12</c:v>
                </c:pt>
                <c:pt idx="4">
                  <c:v>0.16</c:v>
                </c:pt>
                <c:pt idx="5">
                  <c:v>0.14000000000000001</c:v>
                </c:pt>
                <c:pt idx="6">
                  <c:v>0.16</c:v>
                </c:pt>
                <c:pt idx="7">
                  <c:v>0.1</c:v>
                </c:pt>
                <c:pt idx="8">
                  <c:v>0.08</c:v>
                </c:pt>
                <c:pt idx="9">
                  <c:v>0.1</c:v>
                </c:pt>
                <c:pt idx="10">
                  <c:v>0.14000000000000001</c:v>
                </c:pt>
                <c:pt idx="11">
                  <c:v>0.12</c:v>
                </c:pt>
                <c:pt idx="12">
                  <c:v>0.12</c:v>
                </c:pt>
                <c:pt idx="13">
                  <c:v>0.1</c:v>
                </c:pt>
                <c:pt idx="14">
                  <c:v>0.14000000000000001</c:v>
                </c:pt>
                <c:pt idx="15">
                  <c:v>0.18</c:v>
                </c:pt>
                <c:pt idx="16">
                  <c:v>0.14000000000000001</c:v>
                </c:pt>
                <c:pt idx="17">
                  <c:v>0.2</c:v>
                </c:pt>
                <c:pt idx="18">
                  <c:v>0.22</c:v>
                </c:pt>
                <c:pt idx="19">
                  <c:v>0.22</c:v>
                </c:pt>
                <c:pt idx="20">
                  <c:v>0.06</c:v>
                </c:pt>
                <c:pt idx="21">
                  <c:v>0.02</c:v>
                </c:pt>
                <c:pt idx="22">
                  <c:v>0.02</c:v>
                </c:pt>
                <c:pt idx="23">
                  <c:v>0.02</c:v>
                </c:pt>
                <c:pt idx="24">
                  <c:v>0.14000000000000001</c:v>
                </c:pt>
                <c:pt idx="25">
                  <c:v>0.2</c:v>
                </c:pt>
                <c:pt idx="26">
                  <c:v>0.18</c:v>
                </c:pt>
                <c:pt idx="27">
                  <c:v>0.16</c:v>
                </c:pt>
              </c:numCache>
            </c:numRef>
          </c:val>
          <c:smooth val="0"/>
          <c:extLst>
            <c:ext xmlns:c16="http://schemas.microsoft.com/office/drawing/2014/chart" uri="{C3380CC4-5D6E-409C-BE32-E72D297353CC}">
              <c16:uniqueId val="{00000000-B9A9-46E9-B7DC-E4EEB4DC941B}"/>
            </c:ext>
          </c:extLst>
        </c:ser>
        <c:ser>
          <c:idx val="1"/>
          <c:order val="1"/>
          <c:tx>
            <c:strRef>
              <c:f>Analysis!$F$40</c:f>
              <c:strCache>
                <c:ptCount val="1"/>
                <c:pt idx="0">
                  <c:v>Max of temperature</c:v>
                </c:pt>
              </c:strCache>
            </c:strRef>
          </c:tx>
          <c:spPr>
            <a:ln w="22225" cap="rnd">
              <a:solidFill>
                <a:schemeClr val="accent1">
                  <a:shade val="76000"/>
                </a:schemeClr>
              </a:solidFill>
            </a:ln>
            <a:effectLst>
              <a:glow rad="139700">
                <a:schemeClr val="accent1">
                  <a:shade val="76000"/>
                  <a:satMod val="175000"/>
                  <a:alpha val="14000"/>
                </a:schemeClr>
              </a:glow>
            </a:effectLst>
          </c:spPr>
          <c:marker>
            <c:symbol val="circle"/>
            <c:size val="4"/>
            <c:spPr>
              <a:solidFill>
                <a:schemeClr val="accent1">
                  <a:shade val="76000"/>
                  <a:lumMod val="60000"/>
                  <a:lumOff val="40000"/>
                </a:schemeClr>
              </a:solidFill>
              <a:ln>
                <a:noFill/>
              </a:ln>
              <a:effectLst>
                <a:glow rad="63500">
                  <a:schemeClr val="accent1">
                    <a:shade val="76000"/>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Analysis!$D$41:$D$69</c:f>
              <c:strCache>
                <c:ptCount val="28"/>
                <c:pt idx="0">
                  <c:v>01-01-2011</c:v>
                </c:pt>
                <c:pt idx="1">
                  <c:v>02-01-2011</c:v>
                </c:pt>
                <c:pt idx="2">
                  <c:v>03-01-2011</c:v>
                </c:pt>
                <c:pt idx="3">
                  <c:v>04-01-2011</c:v>
                </c:pt>
                <c:pt idx="4">
                  <c:v>05-01-2011</c:v>
                </c:pt>
                <c:pt idx="5">
                  <c:v>06-01-2011</c:v>
                </c:pt>
                <c:pt idx="6">
                  <c:v>07-01-2011</c:v>
                </c:pt>
                <c:pt idx="7">
                  <c:v>08-01-2011</c:v>
                </c:pt>
                <c:pt idx="8">
                  <c:v>09-01-2011</c:v>
                </c:pt>
                <c:pt idx="9">
                  <c:v>10-01-2011</c:v>
                </c:pt>
                <c:pt idx="10">
                  <c:v>11-01-2011</c:v>
                </c:pt>
                <c:pt idx="11">
                  <c:v>12-01-2011</c:v>
                </c:pt>
                <c:pt idx="12">
                  <c:v>13-01-2011</c:v>
                </c:pt>
                <c:pt idx="13">
                  <c:v>14-01-2011</c:v>
                </c:pt>
                <c:pt idx="14">
                  <c:v>15-01-2011</c:v>
                </c:pt>
                <c:pt idx="15">
                  <c:v>16-01-2011</c:v>
                </c:pt>
                <c:pt idx="16">
                  <c:v>17-01-2011</c:v>
                </c:pt>
                <c:pt idx="17">
                  <c:v>18-01-2011</c:v>
                </c:pt>
                <c:pt idx="18">
                  <c:v>19-01-2011</c:v>
                </c:pt>
                <c:pt idx="19">
                  <c:v>20-01-2011</c:v>
                </c:pt>
                <c:pt idx="20">
                  <c:v>21-01-2011</c:v>
                </c:pt>
                <c:pt idx="21">
                  <c:v>22-01-2011</c:v>
                </c:pt>
                <c:pt idx="22">
                  <c:v>23-01-2011</c:v>
                </c:pt>
                <c:pt idx="23">
                  <c:v>24-01-2011</c:v>
                </c:pt>
                <c:pt idx="24">
                  <c:v>25-01-2011</c:v>
                </c:pt>
                <c:pt idx="25">
                  <c:v>26-01-2011</c:v>
                </c:pt>
                <c:pt idx="26">
                  <c:v>27-01-2011</c:v>
                </c:pt>
                <c:pt idx="27">
                  <c:v>28-01-2011</c:v>
                </c:pt>
              </c:strCache>
            </c:strRef>
          </c:cat>
          <c:val>
            <c:numRef>
              <c:f>Analysis!$F$41:$F$69</c:f>
              <c:numCache>
                <c:formatCode>General</c:formatCode>
                <c:ptCount val="28"/>
                <c:pt idx="0">
                  <c:v>0.46</c:v>
                </c:pt>
                <c:pt idx="1">
                  <c:v>0.46</c:v>
                </c:pt>
                <c:pt idx="2">
                  <c:v>0.26</c:v>
                </c:pt>
                <c:pt idx="3">
                  <c:v>0.3</c:v>
                </c:pt>
                <c:pt idx="4">
                  <c:v>0.3</c:v>
                </c:pt>
                <c:pt idx="5">
                  <c:v>0.28000000000000003</c:v>
                </c:pt>
                <c:pt idx="6">
                  <c:v>0.22</c:v>
                </c:pt>
                <c:pt idx="7">
                  <c:v>0.2</c:v>
                </c:pt>
                <c:pt idx="8">
                  <c:v>0.22</c:v>
                </c:pt>
                <c:pt idx="9">
                  <c:v>0.2</c:v>
                </c:pt>
                <c:pt idx="10">
                  <c:v>0.2</c:v>
                </c:pt>
                <c:pt idx="11">
                  <c:v>0.22</c:v>
                </c:pt>
                <c:pt idx="12">
                  <c:v>0.24</c:v>
                </c:pt>
                <c:pt idx="13">
                  <c:v>0.24</c:v>
                </c:pt>
                <c:pt idx="14">
                  <c:v>0.34</c:v>
                </c:pt>
                <c:pt idx="15">
                  <c:v>0.28000000000000003</c:v>
                </c:pt>
                <c:pt idx="16">
                  <c:v>0.2</c:v>
                </c:pt>
                <c:pt idx="17">
                  <c:v>0.22</c:v>
                </c:pt>
                <c:pt idx="18">
                  <c:v>0.4</c:v>
                </c:pt>
                <c:pt idx="19">
                  <c:v>0.32</c:v>
                </c:pt>
                <c:pt idx="20">
                  <c:v>0.24</c:v>
                </c:pt>
                <c:pt idx="21">
                  <c:v>0.12</c:v>
                </c:pt>
                <c:pt idx="22">
                  <c:v>0.16</c:v>
                </c:pt>
                <c:pt idx="23">
                  <c:v>0.16</c:v>
                </c:pt>
                <c:pt idx="24">
                  <c:v>0.32</c:v>
                </c:pt>
                <c:pt idx="25">
                  <c:v>0.24</c:v>
                </c:pt>
                <c:pt idx="26">
                  <c:v>0.22</c:v>
                </c:pt>
                <c:pt idx="27">
                  <c:v>0.22</c:v>
                </c:pt>
              </c:numCache>
            </c:numRef>
          </c:val>
          <c:smooth val="0"/>
          <c:extLst>
            <c:ext xmlns:c16="http://schemas.microsoft.com/office/drawing/2014/chart" uri="{C3380CC4-5D6E-409C-BE32-E72D297353CC}">
              <c16:uniqueId val="{00000001-B9A9-46E9-B7DC-E4EEB4DC941B}"/>
            </c:ext>
          </c:extLst>
        </c:ser>
        <c:dLbls>
          <c:dLblPos val="t"/>
          <c:showLegendKey val="0"/>
          <c:showVal val="1"/>
          <c:showCatName val="0"/>
          <c:showSerName val="0"/>
          <c:showPercent val="0"/>
          <c:showBubbleSize val="0"/>
        </c:dLbls>
        <c:marker val="1"/>
        <c:smooth val="0"/>
        <c:axId val="633288639"/>
        <c:axId val="633283839"/>
      </c:lineChart>
      <c:catAx>
        <c:axId val="633288639"/>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tx>
            <c:rich>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IN" sz="1050" b="0"/>
                  <a:t>DATE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633283839"/>
        <c:crosses val="autoZero"/>
        <c:auto val="1"/>
        <c:lblAlgn val="ctr"/>
        <c:lblOffset val="100"/>
        <c:noMultiLvlLbl val="0"/>
      </c:catAx>
      <c:valAx>
        <c:axId val="633283839"/>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tx>
            <c:rich>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IN" sz="1050"/>
                  <a:t>TEMPERATURE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633288639"/>
        <c:crosses val="autoZero"/>
        <c:crossBetween val="between"/>
      </c:valAx>
      <c:dTable>
        <c:showHorzBorder val="1"/>
        <c:showVertBorder val="1"/>
        <c:showOutline val="1"/>
        <c:showKeys val="1"/>
        <c:spPr>
          <a:noFill/>
          <a:ln w="9525">
            <a:solidFill>
              <a:schemeClr val="dk1">
                <a:lumMod val="50000"/>
                <a:lumOff val="50000"/>
              </a:schemeClr>
            </a:solidFill>
          </a:ln>
          <a:effectLst/>
        </c:spPr>
        <c:txPr>
          <a:bodyPr rot="0" spcFirstLastPara="1" vertOverflow="ellipsis" vert="horz" wrap="square" anchor="ctr" anchorCtr="1"/>
          <a:lstStyle/>
          <a:p>
            <a:pPr rtl="0">
              <a:defRPr sz="900" b="0" i="0" u="none" strike="noStrike" kern="1200" baseline="0">
                <a:solidFill>
                  <a:schemeClr val="lt1">
                    <a:lumMod val="7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[Bike_Dataset_Part_1_i.xlsx]Analysis!PivotTable3</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Average</a:t>
            </a:r>
            <a:r>
              <a:rPr lang="en-US" baseline="0"/>
              <a:t> Temperature on each time of day</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0.16154271667460426"/>
              <c:y val="6.3345246999640878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ysClr val="windowText" lastClr="000000"/>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22165163450701517"/>
                  <c:h val="9.1039713036949854E-2"/>
                </c:manualLayout>
              </c15:layout>
            </c:ext>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21789482714248948"/>
                  <c:h val="5.9952981756040143E-2"/>
                </c:manualLayout>
              </c15:layout>
            </c:ext>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22540844187154085"/>
                  <c:h val="6.3283702964709046E-2"/>
                </c:manualLayout>
              </c15:layout>
            </c:ext>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0177013663537966"/>
          <c:y val="0.28139576276313133"/>
          <c:w val="0.61331536770861383"/>
          <c:h val="0.65174923183602984"/>
        </c:manualLayout>
      </c:layout>
      <c:pie3DChart>
        <c:varyColors val="1"/>
        <c:ser>
          <c:idx val="0"/>
          <c:order val="0"/>
          <c:tx>
            <c:strRef>
              <c:f>Analysis!$I$40</c:f>
              <c:strCache>
                <c:ptCount val="1"/>
                <c:pt idx="0">
                  <c:v>Total</c:v>
                </c:pt>
              </c:strCache>
            </c:strRef>
          </c:tx>
          <c:dPt>
            <c:idx val="0"/>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0A09-44C1-8468-C799ACCAC301}"/>
              </c:ext>
            </c:extLst>
          </c:dPt>
          <c:dPt>
            <c:idx val="1"/>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4-74E7-4A84-878D-2C7892EBB1DD}"/>
              </c:ext>
            </c:extLst>
          </c:dPt>
          <c:dPt>
            <c:idx val="2"/>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74E7-4A84-878D-2C7892EBB1DD}"/>
              </c:ext>
            </c:extLst>
          </c:dPt>
          <c:dPt>
            <c:idx val="3"/>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2-74E7-4A84-878D-2C7892EBB1DD}"/>
              </c:ext>
            </c:extLst>
          </c:dPt>
          <c:dLbls>
            <c:dLbl>
              <c:idx val="1"/>
              <c:dLblPos val="bestFit"/>
              <c:showLegendKey val="0"/>
              <c:showVal val="1"/>
              <c:showCatName val="0"/>
              <c:showSerName val="0"/>
              <c:showPercent val="0"/>
              <c:showBubbleSize val="0"/>
              <c:extLst>
                <c:ext xmlns:c15="http://schemas.microsoft.com/office/drawing/2012/chart" uri="{CE6537A1-D6FC-4f65-9D91-7224C49458BB}">
                  <c15:layout>
                    <c:manualLayout>
                      <c:w val="0.22540844187154085"/>
                      <c:h val="6.3283702964709046E-2"/>
                    </c:manualLayout>
                  </c15:layout>
                </c:ext>
                <c:ext xmlns:c16="http://schemas.microsoft.com/office/drawing/2014/chart" uri="{C3380CC4-5D6E-409C-BE32-E72D297353CC}">
                  <c16:uniqueId val="{00000004-74E7-4A84-878D-2C7892EBB1DD}"/>
                </c:ext>
              </c:extLst>
            </c:dLbl>
            <c:dLbl>
              <c:idx val="2"/>
              <c:dLblPos val="bestFit"/>
              <c:showLegendKey val="0"/>
              <c:showVal val="1"/>
              <c:showCatName val="0"/>
              <c:showSerName val="0"/>
              <c:showPercent val="0"/>
              <c:showBubbleSize val="0"/>
              <c:extLst>
                <c:ext xmlns:c15="http://schemas.microsoft.com/office/drawing/2012/chart" uri="{CE6537A1-D6FC-4f65-9D91-7224C49458BB}">
                  <c15:layout>
                    <c:manualLayout>
                      <c:w val="0.21789482714248948"/>
                      <c:h val="5.9952981756040143E-2"/>
                    </c:manualLayout>
                  </c15:layout>
                </c:ext>
                <c:ext xmlns:c16="http://schemas.microsoft.com/office/drawing/2014/chart" uri="{C3380CC4-5D6E-409C-BE32-E72D297353CC}">
                  <c16:uniqueId val="{00000003-74E7-4A84-878D-2C7892EBB1DD}"/>
                </c:ext>
              </c:extLst>
            </c:dLbl>
            <c:dLbl>
              <c:idx val="3"/>
              <c:layout>
                <c:manualLayout>
                  <c:x val="0.16154271667460426"/>
                  <c:y val="6.3345246999640878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ysClr val="windowText" lastClr="000000"/>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22165163450701517"/>
                      <c:h val="9.1039713036949854E-2"/>
                    </c:manualLayout>
                  </c15:layout>
                </c:ext>
                <c:ext xmlns:c16="http://schemas.microsoft.com/office/drawing/2014/chart" uri="{C3380CC4-5D6E-409C-BE32-E72D297353CC}">
                  <c16:uniqueId val="{00000002-74E7-4A84-878D-2C7892EBB1D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Analysis!$H$41:$H$45</c:f>
              <c:strCache>
                <c:ptCount val="4"/>
                <c:pt idx="0">
                  <c:v>Afternoon</c:v>
                </c:pt>
                <c:pt idx="1">
                  <c:v>Evening</c:v>
                </c:pt>
                <c:pt idx="2">
                  <c:v>Morning</c:v>
                </c:pt>
                <c:pt idx="3">
                  <c:v>Night</c:v>
                </c:pt>
              </c:strCache>
            </c:strRef>
          </c:cat>
          <c:val>
            <c:numRef>
              <c:f>Analysis!$I$41:$I$45</c:f>
              <c:numCache>
                <c:formatCode>General</c:formatCode>
                <c:ptCount val="4"/>
                <c:pt idx="0">
                  <c:v>0.23762962962962941</c:v>
                </c:pt>
                <c:pt idx="1">
                  <c:v>0.21180952380952389</c:v>
                </c:pt>
                <c:pt idx="2">
                  <c:v>0.17833333333333307</c:v>
                </c:pt>
                <c:pt idx="3">
                  <c:v>0.17738317757009356</c:v>
                </c:pt>
              </c:numCache>
            </c:numRef>
          </c:val>
          <c:extLst>
            <c:ext xmlns:c16="http://schemas.microsoft.com/office/drawing/2014/chart" uri="{C3380CC4-5D6E-409C-BE32-E72D297353CC}">
              <c16:uniqueId val="{00000000-74E7-4A84-878D-2C7892EBB1DD}"/>
            </c:ext>
          </c:extLst>
        </c:ser>
        <c:dLbls>
          <c:dLblPos val="bestFit"/>
          <c:showLegendKey val="0"/>
          <c:showVal val="1"/>
          <c:showCatName val="0"/>
          <c:showSerName val="0"/>
          <c:showPercent val="0"/>
          <c:showBubbleSize val="0"/>
          <c:showLeaderLines val="1"/>
        </c:dLbls>
      </c:pie3DChart>
      <c:spPr>
        <a:noFill/>
        <a:ln>
          <a:noFill/>
        </a:ln>
        <a:effectLst/>
      </c:spPr>
    </c:plotArea>
    <c:legend>
      <c:legendPos val="r"/>
      <c:layout>
        <c:manualLayout>
          <c:xMode val="edge"/>
          <c:yMode val="edge"/>
          <c:x val="0.72669226423075672"/>
          <c:y val="0.37078917286565471"/>
          <c:w val="0.2507668915820892"/>
          <c:h val="0.4619932364504337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Temperature Forecast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tx>
            <c:strRef>
              <c:f>Forecast_Sheet!$B$1</c:f>
              <c:strCache>
                <c:ptCount val="1"/>
                <c:pt idx="0">
                  <c:v>temperature</c:v>
                </c:pt>
              </c:strCache>
            </c:strRef>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Forecast_Sheet!$B$2:$B$38</c:f>
              <c:numCache>
                <c:formatCode>General</c:formatCode>
                <c:ptCount val="37"/>
                <c:pt idx="0">
                  <c:v>0.34416666666666673</c:v>
                </c:pt>
                <c:pt idx="1">
                  <c:v>0.36347826086956525</c:v>
                </c:pt>
                <c:pt idx="2">
                  <c:v>0.19636363636363641</c:v>
                </c:pt>
                <c:pt idx="3">
                  <c:v>0.2</c:v>
                </c:pt>
                <c:pt idx="4">
                  <c:v>0.22695652173913047</c:v>
                </c:pt>
                <c:pt idx="5">
                  <c:v>0.20434782608695656</c:v>
                </c:pt>
                <c:pt idx="6">
                  <c:v>0.19652173913043489</c:v>
                </c:pt>
                <c:pt idx="7">
                  <c:v>0.16500000000000006</c:v>
                </c:pt>
                <c:pt idx="8">
                  <c:v>0.13833333333333339</c:v>
                </c:pt>
                <c:pt idx="9">
                  <c:v>0.1508333333333334</c:v>
                </c:pt>
                <c:pt idx="10">
                  <c:v>0.16909090909090915</c:v>
                </c:pt>
                <c:pt idx="11">
                  <c:v>0.17272727272727281</c:v>
                </c:pt>
                <c:pt idx="12">
                  <c:v>0.16500000000000006</c:v>
                </c:pt>
                <c:pt idx="13">
                  <c:v>0.16086956521739137</c:v>
                </c:pt>
                <c:pt idx="14">
                  <c:v>0.23333333333333331</c:v>
                </c:pt>
                <c:pt idx="15">
                  <c:v>0.2316666666666666</c:v>
                </c:pt>
                <c:pt idx="16">
                  <c:v>0.1758333333333334</c:v>
                </c:pt>
                <c:pt idx="17">
                  <c:v>0.2166666666666667</c:v>
                </c:pt>
                <c:pt idx="18">
                  <c:v>0.29217391304347823</c:v>
                </c:pt>
                <c:pt idx="19">
                  <c:v>0.2616666666666666</c:v>
                </c:pt>
                <c:pt idx="20">
                  <c:v>0.17750000000000007</c:v>
                </c:pt>
                <c:pt idx="21">
                  <c:v>5.913043478260871E-2</c:v>
                </c:pt>
                <c:pt idx="22">
                  <c:v>9.6521739130434797E-2</c:v>
                </c:pt>
                <c:pt idx="23">
                  <c:v>9.7391304347826113E-2</c:v>
                </c:pt>
                <c:pt idx="24">
                  <c:v>0.22347826086956521</c:v>
                </c:pt>
                <c:pt idx="25">
                  <c:v>0.21750000000000005</c:v>
                </c:pt>
                <c:pt idx="26">
                  <c:v>0.19499999999999998</c:v>
                </c:pt>
                <c:pt idx="27">
                  <c:v>0.18666666666666668</c:v>
                </c:pt>
              </c:numCache>
            </c:numRef>
          </c:val>
          <c:smooth val="0"/>
          <c:extLst>
            <c:ext xmlns:c16="http://schemas.microsoft.com/office/drawing/2014/chart" uri="{C3380CC4-5D6E-409C-BE32-E72D297353CC}">
              <c16:uniqueId val="{00000000-67A9-4585-9BFC-8B04ED31E8C7}"/>
            </c:ext>
          </c:extLst>
        </c:ser>
        <c:ser>
          <c:idx val="1"/>
          <c:order val="1"/>
          <c:tx>
            <c:strRef>
              <c:f>Forecast_Sheet!$C$1</c:f>
              <c:strCache>
                <c:ptCount val="1"/>
                <c:pt idx="0">
                  <c:v>Forecast(temperature)</c:v>
                </c:pt>
              </c:strCache>
            </c:strRef>
          </c:tx>
          <c:spPr>
            <a:ln w="34925" cap="rnd">
              <a:solidFill>
                <a:schemeClr val="accent2"/>
              </a:solidFill>
              <a:round/>
            </a:ln>
            <a:effectLst>
              <a:outerShdw blurRad="57150" dist="19050" dir="5400000" algn="ctr" rotWithShape="0">
                <a:srgbClr val="000000">
                  <a:alpha val="63000"/>
                </a:srgbClr>
              </a:outerShdw>
            </a:effectLst>
          </c:spPr>
          <c:marker>
            <c:symbol val="none"/>
          </c:marker>
          <c:cat>
            <c:numRef>
              <c:f>Forecast_Sheet!$A$2:$A$38</c:f>
              <c:numCache>
                <c:formatCode>dd\-mm\-yyyy</c:formatCode>
                <c:ptCount val="37"/>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numCache>
            </c:numRef>
          </c:cat>
          <c:val>
            <c:numRef>
              <c:f>Forecast_Sheet!$C$2:$C$38</c:f>
              <c:numCache>
                <c:formatCode>General</c:formatCode>
                <c:ptCount val="37"/>
                <c:pt idx="27">
                  <c:v>0.18666666666666668</c:v>
                </c:pt>
                <c:pt idx="28">
                  <c:v>0.18582042461639708</c:v>
                </c:pt>
                <c:pt idx="29">
                  <c:v>0.18286707003909897</c:v>
                </c:pt>
                <c:pt idx="30">
                  <c:v>0.17991371546180088</c:v>
                </c:pt>
                <c:pt idx="31">
                  <c:v>0.17696036088450279</c:v>
                </c:pt>
                <c:pt idx="32">
                  <c:v>0.17400700630720467</c:v>
                </c:pt>
                <c:pt idx="33">
                  <c:v>0.17105365172990658</c:v>
                </c:pt>
                <c:pt idx="34">
                  <c:v>0.16810029715260846</c:v>
                </c:pt>
                <c:pt idx="35">
                  <c:v>0.16514694257531037</c:v>
                </c:pt>
                <c:pt idx="36">
                  <c:v>0.16219358799801228</c:v>
                </c:pt>
              </c:numCache>
            </c:numRef>
          </c:val>
          <c:smooth val="0"/>
          <c:extLst>
            <c:ext xmlns:c16="http://schemas.microsoft.com/office/drawing/2014/chart" uri="{C3380CC4-5D6E-409C-BE32-E72D297353CC}">
              <c16:uniqueId val="{00000001-67A9-4585-9BFC-8B04ED31E8C7}"/>
            </c:ext>
          </c:extLst>
        </c:ser>
        <c:ser>
          <c:idx val="2"/>
          <c:order val="2"/>
          <c:tx>
            <c:strRef>
              <c:f>Forecast_Sheet!$D$1</c:f>
              <c:strCache>
                <c:ptCount val="1"/>
                <c:pt idx="0">
                  <c:v>Lower Confidence Bound(temperature)</c:v>
                </c:pt>
              </c:strCache>
            </c:strRef>
          </c:tx>
          <c:spPr>
            <a:ln w="34925" cap="rnd">
              <a:solidFill>
                <a:schemeClr val="accent3"/>
              </a:solidFill>
              <a:round/>
            </a:ln>
            <a:effectLst>
              <a:outerShdw blurRad="57150" dist="19050" dir="5400000" algn="ctr" rotWithShape="0">
                <a:srgbClr val="000000">
                  <a:alpha val="63000"/>
                </a:srgbClr>
              </a:outerShdw>
            </a:effectLst>
          </c:spPr>
          <c:marker>
            <c:symbol val="none"/>
          </c:marker>
          <c:cat>
            <c:numRef>
              <c:f>Forecast_Sheet!$A$2:$A$38</c:f>
              <c:numCache>
                <c:formatCode>dd\-mm\-yyyy</c:formatCode>
                <c:ptCount val="37"/>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numCache>
            </c:numRef>
          </c:cat>
          <c:val>
            <c:numRef>
              <c:f>Forecast_Sheet!$D$2:$D$38</c:f>
              <c:numCache>
                <c:formatCode>General</c:formatCode>
                <c:ptCount val="37"/>
                <c:pt idx="27" formatCode="0.00">
                  <c:v>0.18666666666666668</c:v>
                </c:pt>
                <c:pt idx="28" formatCode="0.00">
                  <c:v>7.4293565632301828E-2</c:v>
                </c:pt>
                <c:pt idx="29" formatCode="0.00">
                  <c:v>4.3391551656414312E-2</c:v>
                </c:pt>
                <c:pt idx="30" formatCode="0.00">
                  <c:v>1.7164537717297174E-2</c:v>
                </c:pt>
                <c:pt idx="31" formatCode="0.00">
                  <c:v>-6.1786274181499234E-3</c:v>
                </c:pt>
                <c:pt idx="32" formatCode="0.00">
                  <c:v>-2.7515269495299366E-2</c:v>
                </c:pt>
                <c:pt idx="33" formatCode="0.00">
                  <c:v>-4.735270247549786E-2</c:v>
                </c:pt>
                <c:pt idx="34" formatCode="0.00">
                  <c:v>-6.6015566579493173E-2</c:v>
                </c:pt>
                <c:pt idx="35" formatCode="0.00">
                  <c:v>-8.3726436479773042E-2</c:v>
                </c:pt>
                <c:pt idx="36" formatCode="0.00">
                  <c:v>-0.1006457619623369</c:v>
                </c:pt>
              </c:numCache>
            </c:numRef>
          </c:val>
          <c:smooth val="0"/>
          <c:extLst>
            <c:ext xmlns:c16="http://schemas.microsoft.com/office/drawing/2014/chart" uri="{C3380CC4-5D6E-409C-BE32-E72D297353CC}">
              <c16:uniqueId val="{00000002-67A9-4585-9BFC-8B04ED31E8C7}"/>
            </c:ext>
          </c:extLst>
        </c:ser>
        <c:ser>
          <c:idx val="3"/>
          <c:order val="3"/>
          <c:tx>
            <c:strRef>
              <c:f>Forecast_Sheet!$E$1</c:f>
              <c:strCache>
                <c:ptCount val="1"/>
                <c:pt idx="0">
                  <c:v>Upper Confidence Bound(temperature)</c:v>
                </c:pt>
              </c:strCache>
            </c:strRef>
          </c:tx>
          <c:spPr>
            <a:ln w="34925" cap="rnd">
              <a:solidFill>
                <a:schemeClr val="accent4"/>
              </a:solidFill>
              <a:round/>
            </a:ln>
            <a:effectLst>
              <a:outerShdw blurRad="57150" dist="19050" dir="5400000" algn="ctr" rotWithShape="0">
                <a:srgbClr val="000000">
                  <a:alpha val="63000"/>
                </a:srgbClr>
              </a:outerShdw>
            </a:effectLst>
          </c:spPr>
          <c:marker>
            <c:symbol val="none"/>
          </c:marker>
          <c:cat>
            <c:numRef>
              <c:f>Forecast_Sheet!$A$2:$A$38</c:f>
              <c:numCache>
                <c:formatCode>dd\-mm\-yyyy</c:formatCode>
                <c:ptCount val="37"/>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numCache>
            </c:numRef>
          </c:cat>
          <c:val>
            <c:numRef>
              <c:f>Forecast_Sheet!$E$2:$E$38</c:f>
              <c:numCache>
                <c:formatCode>General</c:formatCode>
                <c:ptCount val="37"/>
                <c:pt idx="27" formatCode="0.00">
                  <c:v>0.18666666666666668</c:v>
                </c:pt>
                <c:pt idx="28" formatCode="0.00">
                  <c:v>0.29734728360049234</c:v>
                </c:pt>
                <c:pt idx="29" formatCode="0.00">
                  <c:v>0.32234258842178365</c:v>
                </c:pt>
                <c:pt idx="30" formatCode="0.00">
                  <c:v>0.34266289320630461</c:v>
                </c:pt>
                <c:pt idx="31" formatCode="0.00">
                  <c:v>0.36009934918715547</c:v>
                </c:pt>
                <c:pt idx="32" formatCode="0.00">
                  <c:v>0.37552928210970871</c:v>
                </c:pt>
                <c:pt idx="33" formatCode="0.00">
                  <c:v>0.38946000593531105</c:v>
                </c:pt>
                <c:pt idx="34" formatCode="0.00">
                  <c:v>0.40221616088471013</c:v>
                </c:pt>
                <c:pt idx="35" formatCode="0.00">
                  <c:v>0.41402032163039382</c:v>
                </c:pt>
                <c:pt idx="36" formatCode="0.00">
                  <c:v>0.4250329379583615</c:v>
                </c:pt>
              </c:numCache>
            </c:numRef>
          </c:val>
          <c:smooth val="0"/>
          <c:extLst>
            <c:ext xmlns:c16="http://schemas.microsoft.com/office/drawing/2014/chart" uri="{C3380CC4-5D6E-409C-BE32-E72D297353CC}">
              <c16:uniqueId val="{00000003-67A9-4585-9BFC-8B04ED31E8C7}"/>
            </c:ext>
          </c:extLst>
        </c:ser>
        <c:dLbls>
          <c:showLegendKey val="0"/>
          <c:showVal val="0"/>
          <c:showCatName val="0"/>
          <c:showSerName val="0"/>
          <c:showPercent val="0"/>
          <c:showBubbleSize val="0"/>
        </c:dLbls>
        <c:smooth val="0"/>
        <c:axId val="633177279"/>
        <c:axId val="633169599"/>
      </c:lineChart>
      <c:catAx>
        <c:axId val="633177279"/>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DATE</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majorTickMark val="none"/>
        <c:minorTickMark val="none"/>
        <c:tickLblPos val="low"/>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33169599"/>
        <c:crosses val="autoZero"/>
        <c:auto val="1"/>
        <c:lblAlgn val="ctr"/>
        <c:lblOffset val="100"/>
        <c:noMultiLvlLbl val="0"/>
      </c:catAx>
      <c:valAx>
        <c:axId val="633169599"/>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TEMPERATURE</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331772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Reversed" id="21">
  <a:schemeClr val="accent1"/>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15240</xdr:colOff>
      <xdr:row>15</xdr:row>
      <xdr:rowOff>170328</xdr:rowOff>
    </xdr:to>
    <xdr:graphicFrame macro="">
      <xdr:nvGraphicFramePr>
        <xdr:cNvPr id="2" name="Chart 1">
          <a:extLst>
            <a:ext uri="{FF2B5EF4-FFF2-40B4-BE49-F238E27FC236}">
              <a16:creationId xmlns:a16="http://schemas.microsoft.com/office/drawing/2014/main" id="{E961BC0E-F286-C0E7-DFC5-212F22ACA0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xdr:colOff>
      <xdr:row>16</xdr:row>
      <xdr:rowOff>44824</xdr:rowOff>
    </xdr:from>
    <xdr:to>
      <xdr:col>16</xdr:col>
      <xdr:colOff>412377</xdr:colOff>
      <xdr:row>32</xdr:row>
      <xdr:rowOff>155888</xdr:rowOff>
    </xdr:to>
    <xdr:graphicFrame macro="">
      <xdr:nvGraphicFramePr>
        <xdr:cNvPr id="3" name="Chart 2">
          <a:extLst>
            <a:ext uri="{FF2B5EF4-FFF2-40B4-BE49-F238E27FC236}">
              <a16:creationId xmlns:a16="http://schemas.microsoft.com/office/drawing/2014/main" id="{53DDF407-07E6-657D-9709-4A1C894DF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52751</xdr:colOff>
      <xdr:row>0</xdr:row>
      <xdr:rowOff>0</xdr:rowOff>
    </xdr:from>
    <xdr:to>
      <xdr:col>14</xdr:col>
      <xdr:colOff>385281</xdr:colOff>
      <xdr:row>15</xdr:row>
      <xdr:rowOff>170329</xdr:rowOff>
    </xdr:to>
    <xdr:graphicFrame macro="">
      <xdr:nvGraphicFramePr>
        <xdr:cNvPr id="4" name="Chart 3">
          <a:extLst>
            <a:ext uri="{FF2B5EF4-FFF2-40B4-BE49-F238E27FC236}">
              <a16:creationId xmlns:a16="http://schemas.microsoft.com/office/drawing/2014/main" id="{2CC1F580-3AC9-265C-FBDE-4739367E2B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14</xdr:col>
      <xdr:colOff>411481</xdr:colOff>
      <xdr:row>0</xdr:row>
      <xdr:rowOff>0</xdr:rowOff>
    </xdr:from>
    <xdr:to>
      <xdr:col>16</xdr:col>
      <xdr:colOff>403412</xdr:colOff>
      <xdr:row>15</xdr:row>
      <xdr:rowOff>170328</xdr:rowOff>
    </xdr:to>
    <mc:AlternateContent xmlns:mc="http://schemas.openxmlformats.org/markup-compatibility/2006" xmlns:a14="http://schemas.microsoft.com/office/drawing/2010/main">
      <mc:Choice Requires="a14">
        <xdr:graphicFrame macro="">
          <xdr:nvGraphicFramePr>
            <xdr:cNvPr id="5" name="date">
              <a:extLst>
                <a:ext uri="{FF2B5EF4-FFF2-40B4-BE49-F238E27FC236}">
                  <a16:creationId xmlns:a16="http://schemas.microsoft.com/office/drawing/2014/main" id="{89023BB5-99F5-0394-8F20-063A8302DD7D}"/>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5454257" y="0"/>
              <a:ext cx="1211131" cy="28597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45721</xdr:colOff>
      <xdr:row>0</xdr:row>
      <xdr:rowOff>11430</xdr:rowOff>
    </xdr:from>
    <xdr:to>
      <xdr:col>15</xdr:col>
      <xdr:colOff>303245</xdr:colOff>
      <xdr:row>20</xdr:row>
      <xdr:rowOff>20955</xdr:rowOff>
    </xdr:to>
    <xdr:graphicFrame macro="">
      <xdr:nvGraphicFramePr>
        <xdr:cNvPr id="2" name="Chart 1">
          <a:extLst>
            <a:ext uri="{FF2B5EF4-FFF2-40B4-BE49-F238E27FC236}">
              <a16:creationId xmlns:a16="http://schemas.microsoft.com/office/drawing/2014/main" id="{64AC971E-ECB6-B421-3449-BB990B3450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23.859869328706" createdVersion="8" refreshedVersion="8" minRefreshableVersion="3" recordCount="610" xr:uid="{4D4A7C5A-A2B6-4B2B-A1FC-C13DE4CC8009}">
  <cacheSource type="worksheet">
    <worksheetSource name="Table1"/>
  </cacheSource>
  <cacheFields count="12">
    <cacheField name="instant" numFmtId="0">
      <sharedItems containsSemiMixedTypes="0" containsString="0" containsNumber="1" containsInteger="1" minValue="1" maxValue="610"/>
    </cacheField>
    <cacheField name="date" numFmtId="14">
      <sharedItems containsSemiMixedTypes="0" containsNonDate="0" containsDate="1" containsString="0" minDate="2011-01-01T00:00:00" maxDate="2011-01-29T00:00:00" count="28">
        <d v="2011-01-01T00:00:00"/>
        <d v="2011-01-02T00:00:00"/>
        <d v="2011-01-03T00:00:00"/>
        <d v="2011-01-04T00:00:00"/>
        <d v="2011-01-05T00:00:00"/>
        <d v="2011-01-06T00:00:00"/>
        <d v="2011-01-07T00:00:00"/>
        <d v="2011-01-08T00:00:00"/>
        <d v="2011-01-09T00:00:00"/>
        <d v="2011-01-10T00:00:00"/>
        <d v="2011-01-11T00:00:00"/>
        <d v="2011-01-12T00:00:00"/>
        <d v="2011-01-13T00:00:00"/>
        <d v="2011-01-14T00:00:00"/>
        <d v="2011-01-15T00:00:00"/>
        <d v="2011-01-16T00:00:00"/>
        <d v="2011-01-17T00:00:00"/>
        <d v="2011-01-18T00:00:00"/>
        <d v="2011-01-19T00:00:00"/>
        <d v="2011-01-20T00:00:00"/>
        <d v="2011-01-21T00:00:00"/>
        <d v="2011-01-22T00:00:00"/>
        <d v="2011-01-23T00:00:00"/>
        <d v="2011-01-24T00:00:00"/>
        <d v="2011-01-25T00:00:00"/>
        <d v="2011-01-26T00:00:00"/>
        <d v="2011-01-27T00:00:00"/>
        <d v="2011-01-28T00:00:00"/>
      </sharedItems>
    </cacheField>
    <cacheField name="season" numFmtId="0">
      <sharedItems containsSemiMixedTypes="0" containsString="0" containsNumber="1" containsInteger="1" minValue="1" maxValue="1"/>
    </cacheField>
    <cacheField name="hour" numFmtId="0">
      <sharedItems containsSemiMixedTypes="0" containsString="0" containsNumber="1" containsInteger="1" minValue="0" maxValue="23"/>
    </cacheField>
    <cacheField name="holiday" numFmtId="0">
      <sharedItems/>
    </cacheField>
    <cacheField name="weekday" numFmtId="0">
      <sharedItems containsSemiMixedTypes="0" containsString="0" containsNumber="1" containsInteger="1" minValue="0" maxValue="6"/>
    </cacheField>
    <cacheField name="weather_situation" numFmtId="0">
      <sharedItems containsSemiMixedTypes="0" containsString="0" containsNumber="1" containsInteger="1" minValue="1" maxValue="4"/>
    </cacheField>
    <cacheField name="temperature" numFmtId="0">
      <sharedItems containsSemiMixedTypes="0" containsString="0" containsNumber="1" minValue="0.02" maxValue="0.46"/>
    </cacheField>
    <cacheField name="Weather_Description" numFmtId="0">
      <sharedItems count="4">
        <s v="Clear"/>
        <s v="Mist/Cloudy"/>
        <s v="Light Rain/Snow"/>
        <s v="Heavy Rain/Storm"/>
      </sharedItems>
    </cacheField>
    <cacheField name="Time_of_Day" numFmtId="0">
      <sharedItems count="4">
        <s v="Night"/>
        <s v="Morning"/>
        <s v="Afternoon"/>
        <s v="Evening"/>
      </sharedItems>
    </cacheField>
    <cacheField name="Temperature_Level" numFmtId="0">
      <sharedItems count="5">
        <s v="Cold"/>
        <s v="Mild"/>
        <s v="Warm"/>
        <s v="Hot"/>
        <s v="Very Cold"/>
      </sharedItems>
    </cacheField>
    <cacheField name="Weekend" numFmtId="0">
      <sharedItems/>
    </cacheField>
  </cacheFields>
  <extLst>
    <ext xmlns:x14="http://schemas.microsoft.com/office/spreadsheetml/2009/9/main" uri="{725AE2AE-9491-48be-B2B4-4EB974FC3084}">
      <x14:pivotCacheDefinition pivotCacheId="196225105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0">
  <r>
    <n v="1"/>
    <x v="0"/>
    <n v="1"/>
    <n v="0"/>
    <b v="0"/>
    <n v="6"/>
    <n v="1"/>
    <n v="0.24"/>
    <x v="0"/>
    <x v="0"/>
    <x v="0"/>
    <s v="Yes"/>
  </r>
  <r>
    <n v="2"/>
    <x v="0"/>
    <n v="1"/>
    <n v="1"/>
    <b v="0"/>
    <n v="6"/>
    <n v="1"/>
    <n v="0.22"/>
    <x v="0"/>
    <x v="0"/>
    <x v="0"/>
    <s v="Yes"/>
  </r>
  <r>
    <n v="3"/>
    <x v="0"/>
    <n v="1"/>
    <n v="2"/>
    <b v="0"/>
    <n v="6"/>
    <n v="1"/>
    <n v="0.22"/>
    <x v="0"/>
    <x v="0"/>
    <x v="0"/>
    <s v="Yes"/>
  </r>
  <r>
    <n v="4"/>
    <x v="0"/>
    <n v="1"/>
    <n v="3"/>
    <b v="0"/>
    <n v="6"/>
    <n v="1"/>
    <n v="0.24"/>
    <x v="0"/>
    <x v="0"/>
    <x v="0"/>
    <s v="Yes"/>
  </r>
  <r>
    <n v="5"/>
    <x v="0"/>
    <n v="1"/>
    <n v="4"/>
    <b v="0"/>
    <n v="6"/>
    <n v="1"/>
    <n v="0.24"/>
    <x v="0"/>
    <x v="0"/>
    <x v="0"/>
    <s v="Yes"/>
  </r>
  <r>
    <n v="6"/>
    <x v="0"/>
    <n v="1"/>
    <n v="5"/>
    <b v="0"/>
    <n v="6"/>
    <n v="2"/>
    <n v="0.24"/>
    <x v="1"/>
    <x v="0"/>
    <x v="0"/>
    <s v="Yes"/>
  </r>
  <r>
    <n v="7"/>
    <x v="0"/>
    <n v="1"/>
    <n v="6"/>
    <b v="0"/>
    <n v="6"/>
    <n v="1"/>
    <n v="0.22"/>
    <x v="0"/>
    <x v="1"/>
    <x v="0"/>
    <s v="Yes"/>
  </r>
  <r>
    <n v="8"/>
    <x v="0"/>
    <n v="1"/>
    <n v="7"/>
    <b v="0"/>
    <n v="6"/>
    <n v="1"/>
    <n v="0.2"/>
    <x v="0"/>
    <x v="1"/>
    <x v="0"/>
    <s v="Yes"/>
  </r>
  <r>
    <n v="9"/>
    <x v="0"/>
    <n v="1"/>
    <n v="8"/>
    <b v="0"/>
    <n v="6"/>
    <n v="1"/>
    <n v="0.24"/>
    <x v="0"/>
    <x v="1"/>
    <x v="0"/>
    <s v="Yes"/>
  </r>
  <r>
    <n v="10"/>
    <x v="0"/>
    <n v="1"/>
    <n v="9"/>
    <b v="0"/>
    <n v="6"/>
    <n v="1"/>
    <n v="0.32"/>
    <x v="0"/>
    <x v="1"/>
    <x v="1"/>
    <s v="Yes"/>
  </r>
  <r>
    <n v="11"/>
    <x v="0"/>
    <n v="1"/>
    <n v="10"/>
    <b v="0"/>
    <n v="6"/>
    <n v="1"/>
    <n v="0.38"/>
    <x v="0"/>
    <x v="1"/>
    <x v="2"/>
    <s v="Yes"/>
  </r>
  <r>
    <n v="12"/>
    <x v="0"/>
    <n v="1"/>
    <n v="11"/>
    <b v="0"/>
    <n v="6"/>
    <n v="1"/>
    <n v="0.36"/>
    <x v="0"/>
    <x v="1"/>
    <x v="2"/>
    <s v="Yes"/>
  </r>
  <r>
    <n v="13"/>
    <x v="0"/>
    <n v="1"/>
    <n v="12"/>
    <b v="0"/>
    <n v="6"/>
    <n v="1"/>
    <n v="0.42"/>
    <x v="0"/>
    <x v="2"/>
    <x v="2"/>
    <s v="Yes"/>
  </r>
  <r>
    <n v="14"/>
    <x v="0"/>
    <n v="1"/>
    <n v="13"/>
    <b v="0"/>
    <n v="6"/>
    <n v="2"/>
    <n v="0.46"/>
    <x v="1"/>
    <x v="2"/>
    <x v="3"/>
    <s v="Yes"/>
  </r>
  <r>
    <n v="15"/>
    <x v="0"/>
    <n v="1"/>
    <n v="14"/>
    <b v="0"/>
    <n v="6"/>
    <n v="2"/>
    <n v="0.46"/>
    <x v="1"/>
    <x v="2"/>
    <x v="3"/>
    <s v="Yes"/>
  </r>
  <r>
    <n v="16"/>
    <x v="0"/>
    <n v="1"/>
    <n v="15"/>
    <b v="0"/>
    <n v="6"/>
    <n v="2"/>
    <n v="0.44"/>
    <x v="1"/>
    <x v="2"/>
    <x v="2"/>
    <s v="Yes"/>
  </r>
  <r>
    <n v="17"/>
    <x v="0"/>
    <n v="1"/>
    <n v="16"/>
    <b v="0"/>
    <n v="6"/>
    <n v="2"/>
    <n v="0.42"/>
    <x v="1"/>
    <x v="2"/>
    <x v="2"/>
    <s v="Yes"/>
  </r>
  <r>
    <n v="18"/>
    <x v="0"/>
    <n v="1"/>
    <n v="17"/>
    <b v="0"/>
    <n v="6"/>
    <n v="2"/>
    <n v="0.44"/>
    <x v="1"/>
    <x v="3"/>
    <x v="2"/>
    <s v="Yes"/>
  </r>
  <r>
    <n v="19"/>
    <x v="0"/>
    <n v="1"/>
    <n v="18"/>
    <b v="0"/>
    <n v="6"/>
    <n v="3"/>
    <n v="0.42"/>
    <x v="2"/>
    <x v="3"/>
    <x v="2"/>
    <s v="Yes"/>
  </r>
  <r>
    <n v="20"/>
    <x v="0"/>
    <n v="1"/>
    <n v="19"/>
    <b v="0"/>
    <n v="6"/>
    <n v="3"/>
    <n v="0.42"/>
    <x v="2"/>
    <x v="3"/>
    <x v="2"/>
    <s v="Yes"/>
  </r>
  <r>
    <n v="21"/>
    <x v="0"/>
    <n v="1"/>
    <n v="20"/>
    <b v="0"/>
    <n v="6"/>
    <n v="2"/>
    <n v="0.4"/>
    <x v="1"/>
    <x v="3"/>
    <x v="2"/>
    <s v="Yes"/>
  </r>
  <r>
    <n v="22"/>
    <x v="0"/>
    <n v="1"/>
    <n v="21"/>
    <b v="0"/>
    <n v="6"/>
    <n v="2"/>
    <n v="0.4"/>
    <x v="1"/>
    <x v="0"/>
    <x v="2"/>
    <s v="Yes"/>
  </r>
  <r>
    <n v="23"/>
    <x v="0"/>
    <n v="1"/>
    <n v="22"/>
    <b v="0"/>
    <n v="6"/>
    <n v="2"/>
    <n v="0.4"/>
    <x v="1"/>
    <x v="0"/>
    <x v="2"/>
    <s v="Yes"/>
  </r>
  <r>
    <n v="24"/>
    <x v="0"/>
    <n v="1"/>
    <n v="23"/>
    <b v="0"/>
    <n v="6"/>
    <n v="2"/>
    <n v="0.46"/>
    <x v="1"/>
    <x v="0"/>
    <x v="3"/>
    <s v="Yes"/>
  </r>
  <r>
    <n v="25"/>
    <x v="1"/>
    <n v="1"/>
    <n v="0"/>
    <b v="0"/>
    <n v="0"/>
    <n v="2"/>
    <n v="0.46"/>
    <x v="1"/>
    <x v="0"/>
    <x v="3"/>
    <s v="Yes"/>
  </r>
  <r>
    <n v="26"/>
    <x v="1"/>
    <n v="1"/>
    <n v="1"/>
    <b v="0"/>
    <n v="0"/>
    <n v="2"/>
    <n v="0.44"/>
    <x v="1"/>
    <x v="0"/>
    <x v="2"/>
    <s v="Yes"/>
  </r>
  <r>
    <n v="27"/>
    <x v="1"/>
    <n v="1"/>
    <n v="2"/>
    <b v="0"/>
    <n v="0"/>
    <n v="2"/>
    <n v="0.42"/>
    <x v="1"/>
    <x v="0"/>
    <x v="2"/>
    <s v="Yes"/>
  </r>
  <r>
    <n v="28"/>
    <x v="1"/>
    <n v="1"/>
    <n v="3"/>
    <b v="0"/>
    <n v="0"/>
    <n v="2"/>
    <n v="0.46"/>
    <x v="1"/>
    <x v="0"/>
    <x v="3"/>
    <s v="Yes"/>
  </r>
  <r>
    <n v="29"/>
    <x v="1"/>
    <n v="1"/>
    <n v="4"/>
    <b v="0"/>
    <n v="0"/>
    <n v="2"/>
    <n v="0.46"/>
    <x v="1"/>
    <x v="0"/>
    <x v="3"/>
    <s v="Yes"/>
  </r>
  <r>
    <n v="30"/>
    <x v="1"/>
    <n v="1"/>
    <n v="6"/>
    <b v="0"/>
    <n v="0"/>
    <n v="3"/>
    <n v="0.42"/>
    <x v="2"/>
    <x v="1"/>
    <x v="2"/>
    <s v="Yes"/>
  </r>
  <r>
    <n v="31"/>
    <x v="1"/>
    <n v="1"/>
    <n v="7"/>
    <b v="0"/>
    <n v="0"/>
    <n v="2"/>
    <n v="0.4"/>
    <x v="1"/>
    <x v="1"/>
    <x v="2"/>
    <s v="Yes"/>
  </r>
  <r>
    <n v="32"/>
    <x v="1"/>
    <n v="1"/>
    <n v="8"/>
    <b v="0"/>
    <n v="0"/>
    <n v="3"/>
    <n v="0.4"/>
    <x v="2"/>
    <x v="1"/>
    <x v="2"/>
    <s v="Yes"/>
  </r>
  <r>
    <n v="33"/>
    <x v="1"/>
    <n v="1"/>
    <n v="9"/>
    <b v="0"/>
    <n v="0"/>
    <n v="2"/>
    <n v="0.38"/>
    <x v="1"/>
    <x v="1"/>
    <x v="2"/>
    <s v="Yes"/>
  </r>
  <r>
    <n v="34"/>
    <x v="1"/>
    <n v="1"/>
    <n v="10"/>
    <b v="0"/>
    <n v="0"/>
    <n v="2"/>
    <n v="0.36"/>
    <x v="1"/>
    <x v="1"/>
    <x v="2"/>
    <s v="Yes"/>
  </r>
  <r>
    <n v="35"/>
    <x v="1"/>
    <n v="1"/>
    <n v="11"/>
    <b v="0"/>
    <n v="0"/>
    <n v="2"/>
    <n v="0.36"/>
    <x v="1"/>
    <x v="1"/>
    <x v="2"/>
    <s v="Yes"/>
  </r>
  <r>
    <n v="36"/>
    <x v="1"/>
    <n v="1"/>
    <n v="12"/>
    <b v="0"/>
    <n v="0"/>
    <n v="2"/>
    <n v="0.36"/>
    <x v="1"/>
    <x v="2"/>
    <x v="2"/>
    <s v="Yes"/>
  </r>
  <r>
    <n v="37"/>
    <x v="1"/>
    <n v="1"/>
    <n v="13"/>
    <b v="0"/>
    <n v="0"/>
    <n v="2"/>
    <n v="0.36"/>
    <x v="1"/>
    <x v="2"/>
    <x v="2"/>
    <s v="Yes"/>
  </r>
  <r>
    <n v="38"/>
    <x v="1"/>
    <n v="1"/>
    <n v="14"/>
    <b v="0"/>
    <n v="0"/>
    <n v="3"/>
    <n v="0.36"/>
    <x v="2"/>
    <x v="2"/>
    <x v="2"/>
    <s v="Yes"/>
  </r>
  <r>
    <n v="39"/>
    <x v="1"/>
    <n v="1"/>
    <n v="15"/>
    <b v="0"/>
    <n v="0"/>
    <n v="3"/>
    <n v="0.34"/>
    <x v="2"/>
    <x v="2"/>
    <x v="1"/>
    <s v="Yes"/>
  </r>
  <r>
    <n v="40"/>
    <x v="1"/>
    <n v="1"/>
    <n v="16"/>
    <b v="0"/>
    <n v="0"/>
    <n v="3"/>
    <n v="0.34"/>
    <x v="2"/>
    <x v="2"/>
    <x v="1"/>
    <s v="Yes"/>
  </r>
  <r>
    <n v="41"/>
    <x v="1"/>
    <n v="1"/>
    <n v="17"/>
    <b v="0"/>
    <n v="0"/>
    <n v="1"/>
    <n v="0.34"/>
    <x v="0"/>
    <x v="3"/>
    <x v="1"/>
    <s v="Yes"/>
  </r>
  <r>
    <n v="42"/>
    <x v="1"/>
    <n v="1"/>
    <n v="18"/>
    <b v="0"/>
    <n v="0"/>
    <n v="2"/>
    <n v="0.36"/>
    <x v="1"/>
    <x v="3"/>
    <x v="2"/>
    <s v="Yes"/>
  </r>
  <r>
    <n v="43"/>
    <x v="1"/>
    <n v="1"/>
    <n v="19"/>
    <b v="0"/>
    <n v="0"/>
    <n v="1"/>
    <n v="0.32"/>
    <x v="0"/>
    <x v="3"/>
    <x v="1"/>
    <s v="Yes"/>
  </r>
  <r>
    <n v="44"/>
    <x v="1"/>
    <n v="1"/>
    <n v="20"/>
    <b v="0"/>
    <n v="0"/>
    <n v="1"/>
    <n v="0.3"/>
    <x v="0"/>
    <x v="3"/>
    <x v="1"/>
    <s v="Yes"/>
  </r>
  <r>
    <n v="45"/>
    <x v="1"/>
    <n v="1"/>
    <n v="21"/>
    <b v="0"/>
    <n v="0"/>
    <n v="1"/>
    <n v="0.26"/>
    <x v="0"/>
    <x v="0"/>
    <x v="1"/>
    <s v="Yes"/>
  </r>
  <r>
    <n v="46"/>
    <x v="1"/>
    <n v="1"/>
    <n v="22"/>
    <b v="0"/>
    <n v="0"/>
    <n v="1"/>
    <n v="0.24"/>
    <x v="0"/>
    <x v="0"/>
    <x v="0"/>
    <s v="Yes"/>
  </r>
  <r>
    <n v="47"/>
    <x v="1"/>
    <n v="1"/>
    <n v="23"/>
    <b v="0"/>
    <n v="0"/>
    <n v="1"/>
    <n v="0.22"/>
    <x v="0"/>
    <x v="0"/>
    <x v="0"/>
    <s v="Yes"/>
  </r>
  <r>
    <n v="48"/>
    <x v="2"/>
    <n v="1"/>
    <n v="0"/>
    <b v="0"/>
    <n v="1"/>
    <n v="1"/>
    <n v="0.22"/>
    <x v="0"/>
    <x v="0"/>
    <x v="0"/>
    <s v="No"/>
  </r>
  <r>
    <n v="49"/>
    <x v="2"/>
    <n v="1"/>
    <n v="1"/>
    <b v="0"/>
    <n v="1"/>
    <n v="1"/>
    <n v="0.2"/>
    <x v="0"/>
    <x v="0"/>
    <x v="0"/>
    <s v="No"/>
  </r>
  <r>
    <n v="50"/>
    <x v="2"/>
    <n v="1"/>
    <n v="4"/>
    <b v="0"/>
    <n v="1"/>
    <n v="1"/>
    <n v="0.16"/>
    <x v="0"/>
    <x v="0"/>
    <x v="0"/>
    <s v="No"/>
  </r>
  <r>
    <n v="51"/>
    <x v="2"/>
    <n v="1"/>
    <n v="5"/>
    <b v="0"/>
    <n v="1"/>
    <n v="1"/>
    <n v="0.16"/>
    <x v="0"/>
    <x v="0"/>
    <x v="0"/>
    <s v="No"/>
  </r>
  <r>
    <n v="52"/>
    <x v="2"/>
    <n v="1"/>
    <n v="6"/>
    <b v="0"/>
    <n v="1"/>
    <n v="1"/>
    <n v="0.14000000000000001"/>
    <x v="0"/>
    <x v="1"/>
    <x v="4"/>
    <s v="No"/>
  </r>
  <r>
    <n v="53"/>
    <x v="2"/>
    <n v="1"/>
    <n v="7"/>
    <b v="0"/>
    <n v="1"/>
    <n v="1"/>
    <n v="0.14000000000000001"/>
    <x v="0"/>
    <x v="1"/>
    <x v="4"/>
    <s v="No"/>
  </r>
  <r>
    <n v="54"/>
    <x v="2"/>
    <n v="1"/>
    <n v="8"/>
    <b v="0"/>
    <n v="1"/>
    <n v="1"/>
    <n v="0.14000000000000001"/>
    <x v="0"/>
    <x v="1"/>
    <x v="4"/>
    <s v="No"/>
  </r>
  <r>
    <n v="55"/>
    <x v="2"/>
    <n v="1"/>
    <n v="9"/>
    <b v="0"/>
    <n v="1"/>
    <n v="1"/>
    <n v="0.16"/>
    <x v="0"/>
    <x v="1"/>
    <x v="0"/>
    <s v="No"/>
  </r>
  <r>
    <n v="56"/>
    <x v="2"/>
    <n v="1"/>
    <n v="10"/>
    <b v="0"/>
    <n v="1"/>
    <n v="1"/>
    <n v="0.18"/>
    <x v="0"/>
    <x v="1"/>
    <x v="0"/>
    <s v="No"/>
  </r>
  <r>
    <n v="57"/>
    <x v="2"/>
    <n v="1"/>
    <n v="11"/>
    <b v="0"/>
    <n v="1"/>
    <n v="1"/>
    <n v="0.2"/>
    <x v="0"/>
    <x v="1"/>
    <x v="0"/>
    <s v="No"/>
  </r>
  <r>
    <n v="58"/>
    <x v="2"/>
    <n v="1"/>
    <n v="12"/>
    <b v="0"/>
    <n v="1"/>
    <n v="1"/>
    <n v="0.22"/>
    <x v="0"/>
    <x v="2"/>
    <x v="0"/>
    <s v="No"/>
  </r>
  <r>
    <n v="59"/>
    <x v="2"/>
    <n v="1"/>
    <n v="13"/>
    <b v="0"/>
    <n v="1"/>
    <n v="1"/>
    <n v="0.24"/>
    <x v="0"/>
    <x v="2"/>
    <x v="0"/>
    <s v="No"/>
  </r>
  <r>
    <n v="60"/>
    <x v="2"/>
    <n v="1"/>
    <n v="14"/>
    <b v="0"/>
    <n v="1"/>
    <n v="1"/>
    <n v="0.26"/>
    <x v="0"/>
    <x v="2"/>
    <x v="1"/>
    <s v="No"/>
  </r>
  <r>
    <n v="61"/>
    <x v="2"/>
    <n v="1"/>
    <n v="15"/>
    <b v="0"/>
    <n v="1"/>
    <n v="1"/>
    <n v="0.26"/>
    <x v="0"/>
    <x v="2"/>
    <x v="1"/>
    <s v="No"/>
  </r>
  <r>
    <n v="62"/>
    <x v="2"/>
    <n v="1"/>
    <n v="16"/>
    <b v="0"/>
    <n v="1"/>
    <n v="1"/>
    <n v="0.26"/>
    <x v="0"/>
    <x v="2"/>
    <x v="1"/>
    <s v="No"/>
  </r>
  <r>
    <n v="63"/>
    <x v="2"/>
    <n v="1"/>
    <n v="17"/>
    <b v="0"/>
    <n v="1"/>
    <n v="1"/>
    <n v="0.24"/>
    <x v="0"/>
    <x v="3"/>
    <x v="0"/>
    <s v="No"/>
  </r>
  <r>
    <n v="64"/>
    <x v="2"/>
    <n v="1"/>
    <n v="18"/>
    <b v="0"/>
    <n v="1"/>
    <n v="1"/>
    <n v="0.24"/>
    <x v="0"/>
    <x v="3"/>
    <x v="0"/>
    <s v="No"/>
  </r>
  <r>
    <n v="65"/>
    <x v="2"/>
    <n v="1"/>
    <n v="19"/>
    <b v="0"/>
    <n v="1"/>
    <n v="1"/>
    <n v="0.2"/>
    <x v="0"/>
    <x v="3"/>
    <x v="0"/>
    <s v="No"/>
  </r>
  <r>
    <n v="66"/>
    <x v="2"/>
    <n v="1"/>
    <n v="20"/>
    <b v="0"/>
    <n v="1"/>
    <n v="1"/>
    <n v="0.2"/>
    <x v="0"/>
    <x v="3"/>
    <x v="0"/>
    <s v="No"/>
  </r>
  <r>
    <n v="67"/>
    <x v="2"/>
    <n v="1"/>
    <n v="21"/>
    <b v="0"/>
    <n v="1"/>
    <n v="1"/>
    <n v="0.18"/>
    <x v="0"/>
    <x v="0"/>
    <x v="0"/>
    <s v="No"/>
  </r>
  <r>
    <n v="68"/>
    <x v="2"/>
    <n v="1"/>
    <n v="22"/>
    <b v="0"/>
    <n v="1"/>
    <n v="1"/>
    <n v="0.14000000000000001"/>
    <x v="0"/>
    <x v="0"/>
    <x v="4"/>
    <s v="No"/>
  </r>
  <r>
    <n v="69"/>
    <x v="2"/>
    <n v="1"/>
    <n v="23"/>
    <b v="0"/>
    <n v="1"/>
    <n v="1"/>
    <n v="0.18"/>
    <x v="0"/>
    <x v="0"/>
    <x v="0"/>
    <s v="No"/>
  </r>
  <r>
    <n v="70"/>
    <x v="3"/>
    <n v="1"/>
    <n v="0"/>
    <b v="0"/>
    <n v="2"/>
    <n v="1"/>
    <n v="0.16"/>
    <x v="0"/>
    <x v="0"/>
    <x v="0"/>
    <s v="No"/>
  </r>
  <r>
    <n v="71"/>
    <x v="3"/>
    <n v="1"/>
    <n v="1"/>
    <b v="0"/>
    <n v="2"/>
    <n v="1"/>
    <n v="0.16"/>
    <x v="0"/>
    <x v="0"/>
    <x v="0"/>
    <s v="No"/>
  </r>
  <r>
    <n v="72"/>
    <x v="3"/>
    <n v="1"/>
    <n v="2"/>
    <b v="0"/>
    <n v="2"/>
    <n v="1"/>
    <n v="0.14000000000000001"/>
    <x v="0"/>
    <x v="0"/>
    <x v="4"/>
    <s v="No"/>
  </r>
  <r>
    <n v="73"/>
    <x v="3"/>
    <n v="1"/>
    <n v="4"/>
    <b v="0"/>
    <n v="2"/>
    <n v="1"/>
    <n v="0.14000000000000001"/>
    <x v="0"/>
    <x v="0"/>
    <x v="4"/>
    <s v="No"/>
  </r>
  <r>
    <n v="74"/>
    <x v="3"/>
    <n v="1"/>
    <n v="5"/>
    <b v="0"/>
    <n v="2"/>
    <n v="1"/>
    <n v="0.12"/>
    <x v="0"/>
    <x v="0"/>
    <x v="4"/>
    <s v="No"/>
  </r>
  <r>
    <n v="75"/>
    <x v="3"/>
    <n v="1"/>
    <n v="6"/>
    <b v="0"/>
    <n v="2"/>
    <n v="1"/>
    <n v="0.12"/>
    <x v="0"/>
    <x v="1"/>
    <x v="4"/>
    <s v="No"/>
  </r>
  <r>
    <n v="76"/>
    <x v="3"/>
    <n v="1"/>
    <n v="7"/>
    <b v="0"/>
    <n v="2"/>
    <n v="1"/>
    <n v="0.12"/>
    <x v="0"/>
    <x v="1"/>
    <x v="4"/>
    <s v="No"/>
  </r>
  <r>
    <n v="77"/>
    <x v="3"/>
    <n v="1"/>
    <n v="8"/>
    <b v="0"/>
    <n v="2"/>
    <n v="1"/>
    <n v="0.14000000000000001"/>
    <x v="0"/>
    <x v="1"/>
    <x v="4"/>
    <s v="No"/>
  </r>
  <r>
    <n v="78"/>
    <x v="3"/>
    <n v="1"/>
    <n v="9"/>
    <b v="0"/>
    <n v="2"/>
    <n v="1"/>
    <n v="0.16"/>
    <x v="0"/>
    <x v="1"/>
    <x v="0"/>
    <s v="No"/>
  </r>
  <r>
    <n v="79"/>
    <x v="3"/>
    <n v="1"/>
    <n v="10"/>
    <b v="0"/>
    <n v="2"/>
    <n v="2"/>
    <n v="0.16"/>
    <x v="1"/>
    <x v="1"/>
    <x v="0"/>
    <s v="No"/>
  </r>
  <r>
    <n v="80"/>
    <x v="3"/>
    <n v="1"/>
    <n v="11"/>
    <b v="0"/>
    <n v="2"/>
    <n v="1"/>
    <n v="0.22"/>
    <x v="0"/>
    <x v="1"/>
    <x v="0"/>
    <s v="No"/>
  </r>
  <r>
    <n v="81"/>
    <x v="3"/>
    <n v="1"/>
    <n v="12"/>
    <b v="0"/>
    <n v="2"/>
    <n v="1"/>
    <n v="0.22"/>
    <x v="0"/>
    <x v="2"/>
    <x v="0"/>
    <s v="No"/>
  </r>
  <r>
    <n v="82"/>
    <x v="3"/>
    <n v="1"/>
    <n v="13"/>
    <b v="0"/>
    <n v="2"/>
    <n v="1"/>
    <n v="0.24"/>
    <x v="0"/>
    <x v="2"/>
    <x v="0"/>
    <s v="No"/>
  </r>
  <r>
    <n v="83"/>
    <x v="3"/>
    <n v="1"/>
    <n v="14"/>
    <b v="0"/>
    <n v="2"/>
    <n v="1"/>
    <n v="0.26"/>
    <x v="0"/>
    <x v="2"/>
    <x v="1"/>
    <s v="No"/>
  </r>
  <r>
    <n v="84"/>
    <x v="3"/>
    <n v="1"/>
    <n v="15"/>
    <b v="0"/>
    <n v="2"/>
    <n v="1"/>
    <n v="0.28000000000000003"/>
    <x v="0"/>
    <x v="2"/>
    <x v="1"/>
    <s v="No"/>
  </r>
  <r>
    <n v="85"/>
    <x v="3"/>
    <n v="1"/>
    <n v="16"/>
    <b v="0"/>
    <n v="2"/>
    <n v="1"/>
    <n v="0.3"/>
    <x v="0"/>
    <x v="2"/>
    <x v="1"/>
    <s v="No"/>
  </r>
  <r>
    <n v="86"/>
    <x v="3"/>
    <n v="1"/>
    <n v="17"/>
    <b v="0"/>
    <n v="2"/>
    <n v="1"/>
    <n v="0.28000000000000003"/>
    <x v="0"/>
    <x v="3"/>
    <x v="1"/>
    <s v="No"/>
  </r>
  <r>
    <n v="87"/>
    <x v="3"/>
    <n v="1"/>
    <n v="18"/>
    <b v="0"/>
    <n v="2"/>
    <n v="1"/>
    <n v="0.26"/>
    <x v="0"/>
    <x v="3"/>
    <x v="1"/>
    <s v="No"/>
  </r>
  <r>
    <n v="88"/>
    <x v="3"/>
    <n v="1"/>
    <n v="19"/>
    <b v="0"/>
    <n v="2"/>
    <n v="1"/>
    <n v="0.24"/>
    <x v="0"/>
    <x v="3"/>
    <x v="0"/>
    <s v="No"/>
  </r>
  <r>
    <n v="89"/>
    <x v="3"/>
    <n v="1"/>
    <n v="20"/>
    <b v="0"/>
    <n v="2"/>
    <n v="1"/>
    <n v="0.24"/>
    <x v="0"/>
    <x v="3"/>
    <x v="0"/>
    <s v="No"/>
  </r>
  <r>
    <n v="90"/>
    <x v="3"/>
    <n v="1"/>
    <n v="21"/>
    <b v="0"/>
    <n v="2"/>
    <n v="1"/>
    <n v="0.22"/>
    <x v="0"/>
    <x v="0"/>
    <x v="0"/>
    <s v="No"/>
  </r>
  <r>
    <n v="91"/>
    <x v="3"/>
    <n v="1"/>
    <n v="22"/>
    <b v="0"/>
    <n v="2"/>
    <n v="1"/>
    <n v="0.22"/>
    <x v="0"/>
    <x v="0"/>
    <x v="0"/>
    <s v="No"/>
  </r>
  <r>
    <n v="92"/>
    <x v="3"/>
    <n v="1"/>
    <n v="23"/>
    <b v="0"/>
    <n v="2"/>
    <n v="1"/>
    <n v="0.2"/>
    <x v="0"/>
    <x v="0"/>
    <x v="0"/>
    <s v="No"/>
  </r>
  <r>
    <n v="93"/>
    <x v="4"/>
    <n v="1"/>
    <n v="0"/>
    <b v="0"/>
    <n v="3"/>
    <n v="1"/>
    <n v="0.2"/>
    <x v="0"/>
    <x v="0"/>
    <x v="0"/>
    <s v="No"/>
  </r>
  <r>
    <n v="94"/>
    <x v="4"/>
    <n v="1"/>
    <n v="1"/>
    <b v="0"/>
    <n v="3"/>
    <n v="1"/>
    <n v="0.16"/>
    <x v="0"/>
    <x v="0"/>
    <x v="0"/>
    <s v="No"/>
  </r>
  <r>
    <n v="95"/>
    <x v="4"/>
    <n v="1"/>
    <n v="2"/>
    <b v="0"/>
    <n v="3"/>
    <n v="1"/>
    <n v="0.16"/>
    <x v="0"/>
    <x v="0"/>
    <x v="0"/>
    <s v="No"/>
  </r>
  <r>
    <n v="96"/>
    <x v="4"/>
    <n v="1"/>
    <n v="4"/>
    <b v="0"/>
    <n v="3"/>
    <n v="1"/>
    <n v="0.24"/>
    <x v="0"/>
    <x v="0"/>
    <x v="0"/>
    <s v="No"/>
  </r>
  <r>
    <n v="97"/>
    <x v="4"/>
    <n v="1"/>
    <n v="5"/>
    <b v="0"/>
    <n v="3"/>
    <n v="1"/>
    <n v="0.22"/>
    <x v="0"/>
    <x v="0"/>
    <x v="0"/>
    <s v="No"/>
  </r>
  <r>
    <n v="98"/>
    <x v="4"/>
    <n v="1"/>
    <n v="6"/>
    <b v="0"/>
    <n v="3"/>
    <n v="1"/>
    <n v="0.2"/>
    <x v="0"/>
    <x v="1"/>
    <x v="0"/>
    <s v="No"/>
  </r>
  <r>
    <n v="99"/>
    <x v="4"/>
    <n v="1"/>
    <n v="7"/>
    <b v="0"/>
    <n v="3"/>
    <n v="1"/>
    <n v="0.18"/>
    <x v="0"/>
    <x v="1"/>
    <x v="0"/>
    <s v="No"/>
  </r>
  <r>
    <n v="100"/>
    <x v="4"/>
    <n v="1"/>
    <n v="8"/>
    <b v="0"/>
    <n v="3"/>
    <n v="1"/>
    <n v="0.2"/>
    <x v="0"/>
    <x v="1"/>
    <x v="0"/>
    <s v="No"/>
  </r>
  <r>
    <n v="101"/>
    <x v="4"/>
    <n v="1"/>
    <n v="9"/>
    <b v="0"/>
    <n v="3"/>
    <n v="1"/>
    <n v="0.22"/>
    <x v="0"/>
    <x v="1"/>
    <x v="0"/>
    <s v="No"/>
  </r>
  <r>
    <n v="102"/>
    <x v="4"/>
    <n v="1"/>
    <n v="10"/>
    <b v="0"/>
    <n v="3"/>
    <n v="1"/>
    <n v="0.22"/>
    <x v="0"/>
    <x v="1"/>
    <x v="0"/>
    <s v="No"/>
  </r>
  <r>
    <n v="103"/>
    <x v="4"/>
    <n v="1"/>
    <n v="11"/>
    <b v="0"/>
    <n v="3"/>
    <n v="1"/>
    <n v="0.26"/>
    <x v="0"/>
    <x v="1"/>
    <x v="1"/>
    <s v="No"/>
  </r>
  <r>
    <n v="104"/>
    <x v="4"/>
    <n v="1"/>
    <n v="12"/>
    <b v="0"/>
    <n v="3"/>
    <n v="1"/>
    <n v="0.26"/>
    <x v="0"/>
    <x v="2"/>
    <x v="1"/>
    <s v="No"/>
  </r>
  <r>
    <n v="105"/>
    <x v="4"/>
    <n v="1"/>
    <n v="13"/>
    <b v="0"/>
    <n v="3"/>
    <n v="1"/>
    <n v="0.28000000000000003"/>
    <x v="0"/>
    <x v="2"/>
    <x v="1"/>
    <s v="No"/>
  </r>
  <r>
    <n v="106"/>
    <x v="4"/>
    <n v="1"/>
    <n v="14"/>
    <b v="0"/>
    <n v="3"/>
    <n v="1"/>
    <n v="0.3"/>
    <x v="0"/>
    <x v="2"/>
    <x v="1"/>
    <s v="No"/>
  </r>
  <r>
    <n v="107"/>
    <x v="4"/>
    <n v="1"/>
    <n v="15"/>
    <b v="0"/>
    <n v="3"/>
    <n v="1"/>
    <n v="0.3"/>
    <x v="0"/>
    <x v="2"/>
    <x v="1"/>
    <s v="No"/>
  </r>
  <r>
    <n v="108"/>
    <x v="4"/>
    <n v="1"/>
    <n v="16"/>
    <b v="0"/>
    <n v="3"/>
    <n v="1"/>
    <n v="0.3"/>
    <x v="0"/>
    <x v="2"/>
    <x v="1"/>
    <s v="No"/>
  </r>
  <r>
    <n v="109"/>
    <x v="4"/>
    <n v="1"/>
    <n v="17"/>
    <b v="0"/>
    <n v="3"/>
    <n v="1"/>
    <n v="0.24"/>
    <x v="0"/>
    <x v="3"/>
    <x v="0"/>
    <s v="No"/>
  </r>
  <r>
    <n v="110"/>
    <x v="4"/>
    <n v="1"/>
    <n v="18"/>
    <b v="0"/>
    <n v="3"/>
    <n v="1"/>
    <n v="0.24"/>
    <x v="0"/>
    <x v="3"/>
    <x v="0"/>
    <s v="No"/>
  </r>
  <r>
    <n v="111"/>
    <x v="4"/>
    <n v="1"/>
    <n v="19"/>
    <b v="0"/>
    <n v="3"/>
    <n v="1"/>
    <n v="0.24"/>
    <x v="0"/>
    <x v="3"/>
    <x v="0"/>
    <s v="No"/>
  </r>
  <r>
    <n v="112"/>
    <x v="4"/>
    <n v="1"/>
    <n v="20"/>
    <b v="0"/>
    <n v="3"/>
    <n v="1"/>
    <n v="0.22"/>
    <x v="0"/>
    <x v="3"/>
    <x v="0"/>
    <s v="No"/>
  </r>
  <r>
    <n v="113"/>
    <x v="4"/>
    <n v="1"/>
    <n v="21"/>
    <b v="0"/>
    <n v="3"/>
    <n v="1"/>
    <n v="0.2"/>
    <x v="0"/>
    <x v="0"/>
    <x v="0"/>
    <s v="No"/>
  </r>
  <r>
    <n v="114"/>
    <x v="4"/>
    <n v="1"/>
    <n v="22"/>
    <b v="0"/>
    <n v="3"/>
    <n v="1"/>
    <n v="0.18"/>
    <x v="0"/>
    <x v="0"/>
    <x v="0"/>
    <s v="No"/>
  </r>
  <r>
    <n v="115"/>
    <x v="4"/>
    <n v="1"/>
    <n v="23"/>
    <b v="0"/>
    <n v="3"/>
    <n v="1"/>
    <n v="0.2"/>
    <x v="0"/>
    <x v="0"/>
    <x v="0"/>
    <s v="No"/>
  </r>
  <r>
    <n v="116"/>
    <x v="5"/>
    <n v="1"/>
    <n v="0"/>
    <b v="0"/>
    <n v="4"/>
    <n v="1"/>
    <n v="0.18"/>
    <x v="0"/>
    <x v="0"/>
    <x v="0"/>
    <s v="No"/>
  </r>
  <r>
    <n v="117"/>
    <x v="5"/>
    <n v="1"/>
    <n v="1"/>
    <b v="0"/>
    <n v="4"/>
    <n v="1"/>
    <n v="0.16"/>
    <x v="0"/>
    <x v="0"/>
    <x v="0"/>
    <s v="No"/>
  </r>
  <r>
    <n v="118"/>
    <x v="5"/>
    <n v="1"/>
    <n v="2"/>
    <b v="0"/>
    <n v="4"/>
    <n v="1"/>
    <n v="0.16"/>
    <x v="0"/>
    <x v="0"/>
    <x v="0"/>
    <s v="No"/>
  </r>
  <r>
    <n v="119"/>
    <x v="5"/>
    <n v="1"/>
    <n v="4"/>
    <b v="0"/>
    <n v="4"/>
    <n v="2"/>
    <n v="0.16"/>
    <x v="1"/>
    <x v="0"/>
    <x v="0"/>
    <s v="No"/>
  </r>
  <r>
    <n v="120"/>
    <x v="5"/>
    <n v="1"/>
    <n v="5"/>
    <b v="0"/>
    <n v="4"/>
    <n v="2"/>
    <n v="0.14000000000000001"/>
    <x v="1"/>
    <x v="0"/>
    <x v="4"/>
    <s v="No"/>
  </r>
  <r>
    <n v="121"/>
    <x v="5"/>
    <n v="1"/>
    <n v="6"/>
    <b v="0"/>
    <n v="4"/>
    <n v="2"/>
    <n v="0.14000000000000001"/>
    <x v="1"/>
    <x v="1"/>
    <x v="4"/>
    <s v="No"/>
  </r>
  <r>
    <n v="122"/>
    <x v="5"/>
    <n v="1"/>
    <n v="7"/>
    <b v="0"/>
    <n v="4"/>
    <n v="2"/>
    <n v="0.16"/>
    <x v="1"/>
    <x v="1"/>
    <x v="0"/>
    <s v="No"/>
  </r>
  <r>
    <n v="123"/>
    <x v="5"/>
    <n v="1"/>
    <n v="8"/>
    <b v="0"/>
    <n v="4"/>
    <n v="1"/>
    <n v="0.16"/>
    <x v="0"/>
    <x v="1"/>
    <x v="0"/>
    <s v="No"/>
  </r>
  <r>
    <n v="124"/>
    <x v="5"/>
    <n v="1"/>
    <n v="9"/>
    <b v="0"/>
    <n v="4"/>
    <n v="2"/>
    <n v="0.18"/>
    <x v="1"/>
    <x v="1"/>
    <x v="0"/>
    <s v="No"/>
  </r>
  <r>
    <n v="125"/>
    <x v="5"/>
    <n v="1"/>
    <n v="10"/>
    <b v="0"/>
    <n v="4"/>
    <n v="1"/>
    <n v="0.2"/>
    <x v="0"/>
    <x v="1"/>
    <x v="0"/>
    <s v="No"/>
  </r>
  <r>
    <n v="126"/>
    <x v="5"/>
    <n v="1"/>
    <n v="11"/>
    <b v="0"/>
    <n v="4"/>
    <n v="1"/>
    <n v="0.22"/>
    <x v="0"/>
    <x v="1"/>
    <x v="0"/>
    <s v="No"/>
  </r>
  <r>
    <n v="127"/>
    <x v="5"/>
    <n v="1"/>
    <n v="12"/>
    <b v="0"/>
    <n v="4"/>
    <n v="1"/>
    <n v="0.26"/>
    <x v="0"/>
    <x v="2"/>
    <x v="1"/>
    <s v="No"/>
  </r>
  <r>
    <n v="128"/>
    <x v="5"/>
    <n v="1"/>
    <n v="13"/>
    <b v="0"/>
    <n v="4"/>
    <n v="1"/>
    <n v="0.26"/>
    <x v="0"/>
    <x v="2"/>
    <x v="1"/>
    <s v="No"/>
  </r>
  <r>
    <n v="129"/>
    <x v="5"/>
    <n v="1"/>
    <n v="14"/>
    <b v="0"/>
    <n v="4"/>
    <n v="1"/>
    <n v="0.28000000000000003"/>
    <x v="0"/>
    <x v="2"/>
    <x v="1"/>
    <s v="No"/>
  </r>
  <r>
    <n v="130"/>
    <x v="5"/>
    <n v="1"/>
    <n v="15"/>
    <b v="0"/>
    <n v="4"/>
    <n v="1"/>
    <n v="0.28000000000000003"/>
    <x v="0"/>
    <x v="2"/>
    <x v="1"/>
    <s v="No"/>
  </r>
  <r>
    <n v="131"/>
    <x v="5"/>
    <n v="1"/>
    <n v="16"/>
    <b v="0"/>
    <n v="4"/>
    <n v="1"/>
    <n v="0.26"/>
    <x v="0"/>
    <x v="2"/>
    <x v="1"/>
    <s v="No"/>
  </r>
  <r>
    <n v="132"/>
    <x v="5"/>
    <n v="1"/>
    <n v="17"/>
    <b v="0"/>
    <n v="4"/>
    <n v="1"/>
    <n v="0.22"/>
    <x v="0"/>
    <x v="3"/>
    <x v="0"/>
    <s v="No"/>
  </r>
  <r>
    <n v="133"/>
    <x v="5"/>
    <n v="1"/>
    <n v="18"/>
    <b v="0"/>
    <n v="4"/>
    <n v="1"/>
    <n v="0.22"/>
    <x v="0"/>
    <x v="3"/>
    <x v="0"/>
    <s v="No"/>
  </r>
  <r>
    <n v="134"/>
    <x v="5"/>
    <n v="1"/>
    <n v="19"/>
    <b v="0"/>
    <n v="4"/>
    <n v="1"/>
    <n v="0.22"/>
    <x v="0"/>
    <x v="3"/>
    <x v="0"/>
    <s v="No"/>
  </r>
  <r>
    <n v="135"/>
    <x v="5"/>
    <n v="1"/>
    <n v="20"/>
    <b v="0"/>
    <n v="4"/>
    <n v="1"/>
    <n v="0.2"/>
    <x v="0"/>
    <x v="3"/>
    <x v="0"/>
    <s v="No"/>
  </r>
  <r>
    <n v="136"/>
    <x v="5"/>
    <n v="1"/>
    <n v="21"/>
    <b v="0"/>
    <n v="4"/>
    <n v="2"/>
    <n v="0.22"/>
    <x v="1"/>
    <x v="0"/>
    <x v="0"/>
    <s v="No"/>
  </r>
  <r>
    <n v="137"/>
    <x v="5"/>
    <n v="1"/>
    <n v="22"/>
    <b v="0"/>
    <n v="4"/>
    <n v="2"/>
    <n v="0.22"/>
    <x v="1"/>
    <x v="0"/>
    <x v="0"/>
    <s v="No"/>
  </r>
  <r>
    <n v="138"/>
    <x v="5"/>
    <n v="1"/>
    <n v="23"/>
    <b v="0"/>
    <n v="4"/>
    <n v="2"/>
    <n v="0.2"/>
    <x v="1"/>
    <x v="0"/>
    <x v="0"/>
    <s v="No"/>
  </r>
  <r>
    <n v="139"/>
    <x v="6"/>
    <n v="1"/>
    <n v="0"/>
    <b v="0"/>
    <n v="5"/>
    <n v="2"/>
    <n v="0.2"/>
    <x v="1"/>
    <x v="0"/>
    <x v="0"/>
    <s v="No"/>
  </r>
  <r>
    <n v="140"/>
    <x v="6"/>
    <n v="1"/>
    <n v="1"/>
    <b v="0"/>
    <n v="5"/>
    <n v="2"/>
    <n v="0.2"/>
    <x v="1"/>
    <x v="0"/>
    <x v="0"/>
    <s v="No"/>
  </r>
  <r>
    <n v="141"/>
    <x v="6"/>
    <n v="1"/>
    <n v="2"/>
    <b v="0"/>
    <n v="5"/>
    <n v="2"/>
    <n v="0.2"/>
    <x v="1"/>
    <x v="0"/>
    <x v="0"/>
    <s v="No"/>
  </r>
  <r>
    <n v="142"/>
    <x v="6"/>
    <n v="1"/>
    <n v="4"/>
    <b v="0"/>
    <n v="5"/>
    <n v="2"/>
    <n v="0.2"/>
    <x v="1"/>
    <x v="0"/>
    <x v="0"/>
    <s v="No"/>
  </r>
  <r>
    <n v="143"/>
    <x v="6"/>
    <n v="1"/>
    <n v="5"/>
    <b v="0"/>
    <n v="5"/>
    <n v="3"/>
    <n v="0.22"/>
    <x v="2"/>
    <x v="0"/>
    <x v="0"/>
    <s v="No"/>
  </r>
  <r>
    <n v="144"/>
    <x v="6"/>
    <n v="1"/>
    <n v="6"/>
    <b v="0"/>
    <n v="5"/>
    <n v="2"/>
    <n v="0.2"/>
    <x v="1"/>
    <x v="1"/>
    <x v="0"/>
    <s v="No"/>
  </r>
  <r>
    <n v="145"/>
    <x v="6"/>
    <n v="1"/>
    <n v="7"/>
    <b v="0"/>
    <n v="5"/>
    <n v="1"/>
    <n v="0.2"/>
    <x v="0"/>
    <x v="1"/>
    <x v="0"/>
    <s v="No"/>
  </r>
  <r>
    <n v="146"/>
    <x v="6"/>
    <n v="1"/>
    <n v="8"/>
    <b v="0"/>
    <n v="5"/>
    <n v="1"/>
    <n v="0.2"/>
    <x v="0"/>
    <x v="1"/>
    <x v="0"/>
    <s v="No"/>
  </r>
  <r>
    <n v="147"/>
    <x v="6"/>
    <n v="1"/>
    <n v="9"/>
    <b v="0"/>
    <n v="5"/>
    <n v="1"/>
    <n v="0.2"/>
    <x v="0"/>
    <x v="1"/>
    <x v="0"/>
    <s v="No"/>
  </r>
  <r>
    <n v="148"/>
    <x v="6"/>
    <n v="1"/>
    <n v="10"/>
    <b v="0"/>
    <n v="5"/>
    <n v="1"/>
    <n v="0.22"/>
    <x v="0"/>
    <x v="1"/>
    <x v="0"/>
    <s v="No"/>
  </r>
  <r>
    <n v="149"/>
    <x v="6"/>
    <n v="1"/>
    <n v="11"/>
    <b v="0"/>
    <n v="5"/>
    <n v="2"/>
    <n v="0.2"/>
    <x v="1"/>
    <x v="1"/>
    <x v="0"/>
    <s v="No"/>
  </r>
  <r>
    <n v="150"/>
    <x v="6"/>
    <n v="1"/>
    <n v="12"/>
    <b v="0"/>
    <n v="5"/>
    <n v="2"/>
    <n v="0.2"/>
    <x v="1"/>
    <x v="2"/>
    <x v="0"/>
    <s v="No"/>
  </r>
  <r>
    <n v="151"/>
    <x v="6"/>
    <n v="1"/>
    <n v="13"/>
    <b v="0"/>
    <n v="5"/>
    <n v="2"/>
    <n v="0.2"/>
    <x v="1"/>
    <x v="2"/>
    <x v="0"/>
    <s v="No"/>
  </r>
  <r>
    <n v="152"/>
    <x v="6"/>
    <n v="1"/>
    <n v="14"/>
    <b v="0"/>
    <n v="5"/>
    <n v="2"/>
    <n v="0.2"/>
    <x v="1"/>
    <x v="2"/>
    <x v="0"/>
    <s v="No"/>
  </r>
  <r>
    <n v="153"/>
    <x v="6"/>
    <n v="1"/>
    <n v="15"/>
    <b v="0"/>
    <n v="5"/>
    <n v="2"/>
    <n v="0.2"/>
    <x v="1"/>
    <x v="2"/>
    <x v="0"/>
    <s v="No"/>
  </r>
  <r>
    <n v="154"/>
    <x v="6"/>
    <n v="1"/>
    <n v="16"/>
    <b v="0"/>
    <n v="5"/>
    <n v="2"/>
    <n v="0.2"/>
    <x v="1"/>
    <x v="2"/>
    <x v="0"/>
    <s v="No"/>
  </r>
  <r>
    <n v="155"/>
    <x v="6"/>
    <n v="1"/>
    <n v="17"/>
    <b v="0"/>
    <n v="5"/>
    <n v="2"/>
    <n v="0.2"/>
    <x v="1"/>
    <x v="3"/>
    <x v="0"/>
    <s v="No"/>
  </r>
  <r>
    <n v="156"/>
    <x v="6"/>
    <n v="1"/>
    <n v="18"/>
    <b v="0"/>
    <n v="5"/>
    <n v="1"/>
    <n v="0.2"/>
    <x v="0"/>
    <x v="3"/>
    <x v="0"/>
    <s v="No"/>
  </r>
  <r>
    <n v="157"/>
    <x v="6"/>
    <n v="1"/>
    <n v="19"/>
    <b v="0"/>
    <n v="5"/>
    <n v="1"/>
    <n v="0.16"/>
    <x v="0"/>
    <x v="3"/>
    <x v="0"/>
    <s v="No"/>
  </r>
  <r>
    <n v="158"/>
    <x v="6"/>
    <n v="1"/>
    <n v="20"/>
    <b v="0"/>
    <n v="5"/>
    <n v="1"/>
    <n v="0.18"/>
    <x v="0"/>
    <x v="3"/>
    <x v="0"/>
    <s v="No"/>
  </r>
  <r>
    <n v="159"/>
    <x v="6"/>
    <n v="1"/>
    <n v="21"/>
    <b v="0"/>
    <n v="5"/>
    <n v="1"/>
    <n v="0.18"/>
    <x v="0"/>
    <x v="0"/>
    <x v="0"/>
    <s v="No"/>
  </r>
  <r>
    <n v="160"/>
    <x v="6"/>
    <n v="1"/>
    <n v="22"/>
    <b v="0"/>
    <n v="5"/>
    <n v="2"/>
    <n v="0.18"/>
    <x v="1"/>
    <x v="0"/>
    <x v="0"/>
    <s v="No"/>
  </r>
  <r>
    <n v="161"/>
    <x v="6"/>
    <n v="1"/>
    <n v="23"/>
    <b v="0"/>
    <n v="5"/>
    <n v="2"/>
    <n v="0.18"/>
    <x v="1"/>
    <x v="0"/>
    <x v="0"/>
    <s v="No"/>
  </r>
  <r>
    <n v="162"/>
    <x v="7"/>
    <n v="1"/>
    <n v="0"/>
    <b v="0"/>
    <n v="6"/>
    <n v="2"/>
    <n v="0.18"/>
    <x v="1"/>
    <x v="0"/>
    <x v="0"/>
    <s v="Yes"/>
  </r>
  <r>
    <n v="163"/>
    <x v="7"/>
    <n v="1"/>
    <n v="1"/>
    <b v="0"/>
    <n v="6"/>
    <n v="2"/>
    <n v="0.18"/>
    <x v="1"/>
    <x v="0"/>
    <x v="0"/>
    <s v="Yes"/>
  </r>
  <r>
    <n v="164"/>
    <x v="7"/>
    <n v="1"/>
    <n v="2"/>
    <b v="0"/>
    <n v="6"/>
    <n v="2"/>
    <n v="0.18"/>
    <x v="1"/>
    <x v="0"/>
    <x v="0"/>
    <s v="Yes"/>
  </r>
  <r>
    <n v="165"/>
    <x v="7"/>
    <n v="1"/>
    <n v="3"/>
    <b v="0"/>
    <n v="6"/>
    <n v="3"/>
    <n v="0.18"/>
    <x v="2"/>
    <x v="0"/>
    <x v="0"/>
    <s v="Yes"/>
  </r>
  <r>
    <n v="166"/>
    <x v="7"/>
    <n v="1"/>
    <n v="4"/>
    <b v="0"/>
    <n v="6"/>
    <n v="3"/>
    <n v="0.18"/>
    <x v="2"/>
    <x v="0"/>
    <x v="0"/>
    <s v="Yes"/>
  </r>
  <r>
    <n v="167"/>
    <x v="7"/>
    <n v="1"/>
    <n v="5"/>
    <b v="0"/>
    <n v="6"/>
    <n v="2"/>
    <n v="0.16"/>
    <x v="1"/>
    <x v="0"/>
    <x v="0"/>
    <s v="Yes"/>
  </r>
  <r>
    <n v="168"/>
    <x v="7"/>
    <n v="1"/>
    <n v="6"/>
    <b v="0"/>
    <n v="6"/>
    <n v="2"/>
    <n v="0.16"/>
    <x v="1"/>
    <x v="1"/>
    <x v="0"/>
    <s v="Yes"/>
  </r>
  <r>
    <n v="169"/>
    <x v="7"/>
    <n v="1"/>
    <n v="7"/>
    <b v="0"/>
    <n v="6"/>
    <n v="2"/>
    <n v="0.16"/>
    <x v="1"/>
    <x v="1"/>
    <x v="0"/>
    <s v="Yes"/>
  </r>
  <r>
    <n v="170"/>
    <x v="7"/>
    <n v="1"/>
    <n v="8"/>
    <b v="0"/>
    <n v="6"/>
    <n v="3"/>
    <n v="0.16"/>
    <x v="2"/>
    <x v="1"/>
    <x v="0"/>
    <s v="Yes"/>
  </r>
  <r>
    <n v="171"/>
    <x v="7"/>
    <n v="1"/>
    <n v="9"/>
    <b v="0"/>
    <n v="6"/>
    <n v="3"/>
    <n v="0.16"/>
    <x v="2"/>
    <x v="1"/>
    <x v="0"/>
    <s v="Yes"/>
  </r>
  <r>
    <n v="172"/>
    <x v="7"/>
    <n v="1"/>
    <n v="10"/>
    <b v="0"/>
    <n v="6"/>
    <n v="2"/>
    <n v="0.18"/>
    <x v="1"/>
    <x v="1"/>
    <x v="0"/>
    <s v="Yes"/>
  </r>
  <r>
    <n v="173"/>
    <x v="7"/>
    <n v="1"/>
    <n v="11"/>
    <b v="0"/>
    <n v="6"/>
    <n v="2"/>
    <n v="0.2"/>
    <x v="1"/>
    <x v="1"/>
    <x v="0"/>
    <s v="Yes"/>
  </r>
  <r>
    <n v="174"/>
    <x v="7"/>
    <n v="1"/>
    <n v="12"/>
    <b v="0"/>
    <n v="6"/>
    <n v="2"/>
    <n v="0.2"/>
    <x v="1"/>
    <x v="2"/>
    <x v="0"/>
    <s v="Yes"/>
  </r>
  <r>
    <n v="175"/>
    <x v="7"/>
    <n v="1"/>
    <n v="13"/>
    <b v="0"/>
    <n v="6"/>
    <n v="1"/>
    <n v="0.2"/>
    <x v="0"/>
    <x v="2"/>
    <x v="0"/>
    <s v="Yes"/>
  </r>
  <r>
    <n v="176"/>
    <x v="7"/>
    <n v="1"/>
    <n v="14"/>
    <b v="0"/>
    <n v="6"/>
    <n v="1"/>
    <n v="0.2"/>
    <x v="0"/>
    <x v="2"/>
    <x v="0"/>
    <s v="Yes"/>
  </r>
  <r>
    <n v="177"/>
    <x v="7"/>
    <n v="1"/>
    <n v="15"/>
    <b v="0"/>
    <n v="6"/>
    <n v="1"/>
    <n v="0.2"/>
    <x v="0"/>
    <x v="2"/>
    <x v="0"/>
    <s v="Yes"/>
  </r>
  <r>
    <n v="178"/>
    <x v="7"/>
    <n v="1"/>
    <n v="16"/>
    <b v="0"/>
    <n v="6"/>
    <n v="1"/>
    <n v="0.18"/>
    <x v="0"/>
    <x v="2"/>
    <x v="0"/>
    <s v="Yes"/>
  </r>
  <r>
    <n v="179"/>
    <x v="7"/>
    <n v="1"/>
    <n v="17"/>
    <b v="0"/>
    <n v="6"/>
    <n v="1"/>
    <n v="0.16"/>
    <x v="0"/>
    <x v="3"/>
    <x v="0"/>
    <s v="Yes"/>
  </r>
  <r>
    <n v="180"/>
    <x v="7"/>
    <n v="1"/>
    <n v="18"/>
    <b v="0"/>
    <n v="6"/>
    <n v="1"/>
    <n v="0.14000000000000001"/>
    <x v="0"/>
    <x v="3"/>
    <x v="4"/>
    <s v="Yes"/>
  </r>
  <r>
    <n v="181"/>
    <x v="7"/>
    <n v="1"/>
    <n v="19"/>
    <b v="0"/>
    <n v="6"/>
    <n v="1"/>
    <n v="0.14000000000000001"/>
    <x v="0"/>
    <x v="3"/>
    <x v="4"/>
    <s v="Yes"/>
  </r>
  <r>
    <n v="182"/>
    <x v="7"/>
    <n v="1"/>
    <n v="20"/>
    <b v="0"/>
    <n v="6"/>
    <n v="1"/>
    <n v="0.12"/>
    <x v="0"/>
    <x v="3"/>
    <x v="4"/>
    <s v="Yes"/>
  </r>
  <r>
    <n v="183"/>
    <x v="7"/>
    <n v="1"/>
    <n v="21"/>
    <b v="0"/>
    <n v="6"/>
    <n v="1"/>
    <n v="0.12"/>
    <x v="0"/>
    <x v="0"/>
    <x v="4"/>
    <s v="Yes"/>
  </r>
  <r>
    <n v="184"/>
    <x v="7"/>
    <n v="1"/>
    <n v="22"/>
    <b v="0"/>
    <n v="6"/>
    <n v="1"/>
    <n v="0.12"/>
    <x v="0"/>
    <x v="0"/>
    <x v="4"/>
    <s v="Yes"/>
  </r>
  <r>
    <n v="185"/>
    <x v="7"/>
    <n v="1"/>
    <n v="23"/>
    <b v="0"/>
    <n v="6"/>
    <n v="1"/>
    <n v="0.1"/>
    <x v="0"/>
    <x v="0"/>
    <x v="4"/>
    <s v="Yes"/>
  </r>
  <r>
    <n v="186"/>
    <x v="8"/>
    <n v="1"/>
    <n v="0"/>
    <b v="0"/>
    <n v="0"/>
    <n v="1"/>
    <n v="0.1"/>
    <x v="0"/>
    <x v="0"/>
    <x v="4"/>
    <s v="Yes"/>
  </r>
  <r>
    <n v="187"/>
    <x v="8"/>
    <n v="1"/>
    <n v="1"/>
    <b v="0"/>
    <n v="0"/>
    <n v="1"/>
    <n v="0.1"/>
    <x v="0"/>
    <x v="0"/>
    <x v="4"/>
    <s v="Yes"/>
  </r>
  <r>
    <n v="188"/>
    <x v="8"/>
    <n v="1"/>
    <n v="2"/>
    <b v="0"/>
    <n v="0"/>
    <n v="1"/>
    <n v="0.1"/>
    <x v="0"/>
    <x v="0"/>
    <x v="4"/>
    <s v="Yes"/>
  </r>
  <r>
    <n v="189"/>
    <x v="8"/>
    <n v="1"/>
    <n v="3"/>
    <b v="0"/>
    <n v="0"/>
    <n v="1"/>
    <n v="0.1"/>
    <x v="0"/>
    <x v="0"/>
    <x v="4"/>
    <s v="Yes"/>
  </r>
  <r>
    <n v="190"/>
    <x v="8"/>
    <n v="1"/>
    <n v="4"/>
    <b v="0"/>
    <n v="0"/>
    <n v="1"/>
    <n v="0.08"/>
    <x v="0"/>
    <x v="0"/>
    <x v="4"/>
    <s v="Yes"/>
  </r>
  <r>
    <n v="191"/>
    <x v="8"/>
    <n v="1"/>
    <n v="5"/>
    <b v="0"/>
    <n v="0"/>
    <n v="1"/>
    <n v="0.08"/>
    <x v="0"/>
    <x v="0"/>
    <x v="4"/>
    <s v="Yes"/>
  </r>
  <r>
    <n v="192"/>
    <x v="8"/>
    <n v="1"/>
    <n v="6"/>
    <b v="0"/>
    <n v="0"/>
    <n v="1"/>
    <n v="0.1"/>
    <x v="0"/>
    <x v="1"/>
    <x v="4"/>
    <s v="Yes"/>
  </r>
  <r>
    <n v="193"/>
    <x v="8"/>
    <n v="1"/>
    <n v="7"/>
    <b v="0"/>
    <n v="0"/>
    <n v="1"/>
    <n v="0.08"/>
    <x v="0"/>
    <x v="1"/>
    <x v="4"/>
    <s v="Yes"/>
  </r>
  <r>
    <n v="194"/>
    <x v="8"/>
    <n v="1"/>
    <n v="8"/>
    <b v="0"/>
    <n v="0"/>
    <n v="1"/>
    <n v="0.1"/>
    <x v="0"/>
    <x v="1"/>
    <x v="4"/>
    <s v="Yes"/>
  </r>
  <r>
    <n v="195"/>
    <x v="8"/>
    <n v="1"/>
    <n v="9"/>
    <b v="0"/>
    <n v="0"/>
    <n v="1"/>
    <n v="0.12"/>
    <x v="0"/>
    <x v="1"/>
    <x v="4"/>
    <s v="Yes"/>
  </r>
  <r>
    <n v="196"/>
    <x v="8"/>
    <n v="1"/>
    <n v="10"/>
    <b v="0"/>
    <n v="0"/>
    <n v="1"/>
    <n v="0.14000000000000001"/>
    <x v="0"/>
    <x v="1"/>
    <x v="4"/>
    <s v="Yes"/>
  </r>
  <r>
    <n v="197"/>
    <x v="8"/>
    <n v="1"/>
    <n v="11"/>
    <b v="0"/>
    <n v="0"/>
    <n v="1"/>
    <n v="0.16"/>
    <x v="0"/>
    <x v="1"/>
    <x v="0"/>
    <s v="Yes"/>
  </r>
  <r>
    <n v="198"/>
    <x v="8"/>
    <n v="1"/>
    <n v="12"/>
    <b v="0"/>
    <n v="0"/>
    <n v="1"/>
    <n v="0.18"/>
    <x v="0"/>
    <x v="2"/>
    <x v="0"/>
    <s v="Yes"/>
  </r>
  <r>
    <n v="199"/>
    <x v="8"/>
    <n v="1"/>
    <n v="13"/>
    <b v="0"/>
    <n v="0"/>
    <n v="1"/>
    <n v="0.2"/>
    <x v="0"/>
    <x v="2"/>
    <x v="0"/>
    <s v="Yes"/>
  </r>
  <r>
    <n v="200"/>
    <x v="8"/>
    <n v="1"/>
    <n v="14"/>
    <b v="0"/>
    <n v="0"/>
    <n v="1"/>
    <n v="0.22"/>
    <x v="0"/>
    <x v="2"/>
    <x v="0"/>
    <s v="Yes"/>
  </r>
  <r>
    <n v="201"/>
    <x v="8"/>
    <n v="1"/>
    <n v="15"/>
    <b v="0"/>
    <n v="0"/>
    <n v="1"/>
    <n v="0.22"/>
    <x v="0"/>
    <x v="2"/>
    <x v="0"/>
    <s v="Yes"/>
  </r>
  <r>
    <n v="202"/>
    <x v="8"/>
    <n v="1"/>
    <n v="16"/>
    <b v="0"/>
    <n v="0"/>
    <n v="1"/>
    <n v="0.2"/>
    <x v="0"/>
    <x v="2"/>
    <x v="0"/>
    <s v="Yes"/>
  </r>
  <r>
    <n v="203"/>
    <x v="8"/>
    <n v="1"/>
    <n v="17"/>
    <b v="0"/>
    <n v="0"/>
    <n v="1"/>
    <n v="0.18"/>
    <x v="0"/>
    <x v="3"/>
    <x v="0"/>
    <s v="Yes"/>
  </r>
  <r>
    <n v="204"/>
    <x v="8"/>
    <n v="1"/>
    <n v="18"/>
    <b v="0"/>
    <n v="0"/>
    <n v="1"/>
    <n v="0.16"/>
    <x v="0"/>
    <x v="3"/>
    <x v="0"/>
    <s v="Yes"/>
  </r>
  <r>
    <n v="205"/>
    <x v="8"/>
    <n v="1"/>
    <n v="19"/>
    <b v="0"/>
    <n v="0"/>
    <n v="1"/>
    <n v="0.16"/>
    <x v="0"/>
    <x v="3"/>
    <x v="0"/>
    <s v="Yes"/>
  </r>
  <r>
    <n v="206"/>
    <x v="8"/>
    <n v="1"/>
    <n v="20"/>
    <b v="0"/>
    <n v="0"/>
    <n v="1"/>
    <n v="0.14000000000000001"/>
    <x v="0"/>
    <x v="3"/>
    <x v="4"/>
    <s v="Yes"/>
  </r>
  <r>
    <n v="207"/>
    <x v="8"/>
    <n v="1"/>
    <n v="21"/>
    <b v="0"/>
    <n v="0"/>
    <n v="1"/>
    <n v="0.14000000000000001"/>
    <x v="0"/>
    <x v="0"/>
    <x v="4"/>
    <s v="Yes"/>
  </r>
  <r>
    <n v="208"/>
    <x v="8"/>
    <n v="1"/>
    <n v="22"/>
    <b v="0"/>
    <n v="0"/>
    <n v="1"/>
    <n v="0.14000000000000001"/>
    <x v="0"/>
    <x v="0"/>
    <x v="4"/>
    <s v="Yes"/>
  </r>
  <r>
    <n v="209"/>
    <x v="8"/>
    <n v="1"/>
    <n v="23"/>
    <b v="0"/>
    <n v="0"/>
    <n v="1"/>
    <n v="0.12"/>
    <x v="0"/>
    <x v="0"/>
    <x v="4"/>
    <s v="Yes"/>
  </r>
  <r>
    <n v="210"/>
    <x v="9"/>
    <n v="1"/>
    <n v="0"/>
    <b v="0"/>
    <n v="1"/>
    <n v="1"/>
    <n v="0.12"/>
    <x v="0"/>
    <x v="0"/>
    <x v="4"/>
    <s v="No"/>
  </r>
  <r>
    <n v="211"/>
    <x v="9"/>
    <n v="1"/>
    <n v="1"/>
    <b v="0"/>
    <n v="1"/>
    <n v="1"/>
    <n v="0.12"/>
    <x v="0"/>
    <x v="0"/>
    <x v="4"/>
    <s v="No"/>
  </r>
  <r>
    <n v="212"/>
    <x v="9"/>
    <n v="1"/>
    <n v="2"/>
    <b v="0"/>
    <n v="1"/>
    <n v="1"/>
    <n v="0.12"/>
    <x v="0"/>
    <x v="0"/>
    <x v="4"/>
    <s v="No"/>
  </r>
  <r>
    <n v="213"/>
    <x v="9"/>
    <n v="1"/>
    <n v="3"/>
    <b v="0"/>
    <n v="1"/>
    <n v="1"/>
    <n v="0.12"/>
    <x v="0"/>
    <x v="0"/>
    <x v="4"/>
    <s v="No"/>
  </r>
  <r>
    <n v="214"/>
    <x v="9"/>
    <n v="1"/>
    <n v="4"/>
    <b v="0"/>
    <n v="1"/>
    <n v="1"/>
    <n v="0.1"/>
    <x v="0"/>
    <x v="0"/>
    <x v="4"/>
    <s v="No"/>
  </r>
  <r>
    <n v="215"/>
    <x v="9"/>
    <n v="1"/>
    <n v="5"/>
    <b v="0"/>
    <n v="1"/>
    <n v="1"/>
    <n v="0.1"/>
    <x v="0"/>
    <x v="0"/>
    <x v="4"/>
    <s v="No"/>
  </r>
  <r>
    <n v="216"/>
    <x v="9"/>
    <n v="1"/>
    <n v="6"/>
    <b v="0"/>
    <n v="1"/>
    <n v="1"/>
    <n v="0.12"/>
    <x v="0"/>
    <x v="1"/>
    <x v="4"/>
    <s v="No"/>
  </r>
  <r>
    <n v="217"/>
    <x v="9"/>
    <n v="1"/>
    <n v="7"/>
    <b v="0"/>
    <n v="1"/>
    <n v="1"/>
    <n v="0.12"/>
    <x v="0"/>
    <x v="1"/>
    <x v="4"/>
    <s v="No"/>
  </r>
  <r>
    <n v="218"/>
    <x v="9"/>
    <n v="1"/>
    <n v="8"/>
    <b v="0"/>
    <n v="1"/>
    <n v="2"/>
    <n v="0.12"/>
    <x v="1"/>
    <x v="1"/>
    <x v="4"/>
    <s v="No"/>
  </r>
  <r>
    <n v="219"/>
    <x v="9"/>
    <n v="1"/>
    <n v="9"/>
    <b v="0"/>
    <n v="1"/>
    <n v="2"/>
    <n v="0.14000000000000001"/>
    <x v="1"/>
    <x v="1"/>
    <x v="4"/>
    <s v="No"/>
  </r>
  <r>
    <n v="220"/>
    <x v="9"/>
    <n v="1"/>
    <n v="10"/>
    <b v="0"/>
    <n v="1"/>
    <n v="2"/>
    <n v="0.14000000000000001"/>
    <x v="1"/>
    <x v="1"/>
    <x v="4"/>
    <s v="No"/>
  </r>
  <r>
    <n v="221"/>
    <x v="9"/>
    <n v="1"/>
    <n v="11"/>
    <b v="0"/>
    <n v="1"/>
    <n v="2"/>
    <n v="0.16"/>
    <x v="1"/>
    <x v="1"/>
    <x v="0"/>
    <s v="No"/>
  </r>
  <r>
    <n v="222"/>
    <x v="9"/>
    <n v="1"/>
    <n v="12"/>
    <b v="0"/>
    <n v="1"/>
    <n v="2"/>
    <n v="0.2"/>
    <x v="1"/>
    <x v="2"/>
    <x v="0"/>
    <s v="No"/>
  </r>
  <r>
    <n v="223"/>
    <x v="9"/>
    <n v="1"/>
    <n v="13"/>
    <b v="0"/>
    <n v="1"/>
    <n v="2"/>
    <n v="0.2"/>
    <x v="1"/>
    <x v="2"/>
    <x v="0"/>
    <s v="No"/>
  </r>
  <r>
    <n v="224"/>
    <x v="9"/>
    <n v="1"/>
    <n v="14"/>
    <b v="0"/>
    <n v="1"/>
    <n v="2"/>
    <n v="0.2"/>
    <x v="1"/>
    <x v="2"/>
    <x v="0"/>
    <s v="No"/>
  </r>
  <r>
    <n v="225"/>
    <x v="9"/>
    <n v="1"/>
    <n v="15"/>
    <b v="0"/>
    <n v="1"/>
    <n v="2"/>
    <n v="0.2"/>
    <x v="1"/>
    <x v="2"/>
    <x v="0"/>
    <s v="No"/>
  </r>
  <r>
    <n v="226"/>
    <x v="9"/>
    <n v="1"/>
    <n v="16"/>
    <b v="0"/>
    <n v="1"/>
    <n v="1"/>
    <n v="0.2"/>
    <x v="0"/>
    <x v="2"/>
    <x v="0"/>
    <s v="No"/>
  </r>
  <r>
    <n v="227"/>
    <x v="9"/>
    <n v="1"/>
    <n v="17"/>
    <b v="0"/>
    <n v="1"/>
    <n v="1"/>
    <n v="0.2"/>
    <x v="0"/>
    <x v="3"/>
    <x v="0"/>
    <s v="No"/>
  </r>
  <r>
    <n v="228"/>
    <x v="9"/>
    <n v="1"/>
    <n v="18"/>
    <b v="0"/>
    <n v="1"/>
    <n v="1"/>
    <n v="0.2"/>
    <x v="0"/>
    <x v="3"/>
    <x v="0"/>
    <s v="No"/>
  </r>
  <r>
    <n v="229"/>
    <x v="9"/>
    <n v="1"/>
    <n v="19"/>
    <b v="0"/>
    <n v="1"/>
    <n v="1"/>
    <n v="0.16"/>
    <x v="0"/>
    <x v="3"/>
    <x v="0"/>
    <s v="No"/>
  </r>
  <r>
    <n v="230"/>
    <x v="9"/>
    <n v="1"/>
    <n v="20"/>
    <b v="0"/>
    <n v="1"/>
    <n v="1"/>
    <n v="0.16"/>
    <x v="0"/>
    <x v="3"/>
    <x v="0"/>
    <s v="No"/>
  </r>
  <r>
    <n v="231"/>
    <x v="9"/>
    <n v="1"/>
    <n v="21"/>
    <b v="0"/>
    <n v="1"/>
    <n v="1"/>
    <n v="0.14000000000000001"/>
    <x v="0"/>
    <x v="0"/>
    <x v="4"/>
    <s v="No"/>
  </r>
  <r>
    <n v="232"/>
    <x v="9"/>
    <n v="1"/>
    <n v="22"/>
    <b v="0"/>
    <n v="1"/>
    <n v="1"/>
    <n v="0.14000000000000001"/>
    <x v="0"/>
    <x v="0"/>
    <x v="4"/>
    <s v="No"/>
  </r>
  <r>
    <n v="233"/>
    <x v="9"/>
    <n v="1"/>
    <n v="23"/>
    <b v="0"/>
    <n v="1"/>
    <n v="1"/>
    <n v="0.14000000000000001"/>
    <x v="0"/>
    <x v="0"/>
    <x v="4"/>
    <s v="No"/>
  </r>
  <r>
    <n v="234"/>
    <x v="10"/>
    <n v="1"/>
    <n v="0"/>
    <b v="0"/>
    <n v="2"/>
    <n v="1"/>
    <n v="0.14000000000000001"/>
    <x v="0"/>
    <x v="0"/>
    <x v="4"/>
    <s v="No"/>
  </r>
  <r>
    <n v="235"/>
    <x v="10"/>
    <n v="1"/>
    <n v="1"/>
    <b v="0"/>
    <n v="2"/>
    <n v="1"/>
    <n v="0.14000000000000001"/>
    <x v="0"/>
    <x v="0"/>
    <x v="4"/>
    <s v="No"/>
  </r>
  <r>
    <n v="236"/>
    <x v="10"/>
    <n v="1"/>
    <n v="2"/>
    <b v="0"/>
    <n v="2"/>
    <n v="2"/>
    <n v="0.16"/>
    <x v="1"/>
    <x v="0"/>
    <x v="0"/>
    <s v="No"/>
  </r>
  <r>
    <n v="237"/>
    <x v="10"/>
    <n v="1"/>
    <n v="5"/>
    <b v="0"/>
    <n v="2"/>
    <n v="2"/>
    <n v="0.16"/>
    <x v="1"/>
    <x v="0"/>
    <x v="0"/>
    <s v="No"/>
  </r>
  <r>
    <n v="238"/>
    <x v="10"/>
    <n v="1"/>
    <n v="6"/>
    <b v="0"/>
    <n v="2"/>
    <n v="2"/>
    <n v="0.16"/>
    <x v="1"/>
    <x v="1"/>
    <x v="0"/>
    <s v="No"/>
  </r>
  <r>
    <n v="239"/>
    <x v="10"/>
    <n v="1"/>
    <n v="7"/>
    <b v="0"/>
    <n v="2"/>
    <n v="2"/>
    <n v="0.16"/>
    <x v="1"/>
    <x v="1"/>
    <x v="0"/>
    <s v="No"/>
  </r>
  <r>
    <n v="240"/>
    <x v="10"/>
    <n v="1"/>
    <n v="8"/>
    <b v="0"/>
    <n v="2"/>
    <n v="2"/>
    <n v="0.18"/>
    <x v="1"/>
    <x v="1"/>
    <x v="0"/>
    <s v="No"/>
  </r>
  <r>
    <n v="241"/>
    <x v="10"/>
    <n v="1"/>
    <n v="9"/>
    <b v="0"/>
    <n v="2"/>
    <n v="2"/>
    <n v="0.18"/>
    <x v="1"/>
    <x v="1"/>
    <x v="0"/>
    <s v="No"/>
  </r>
  <r>
    <n v="242"/>
    <x v="10"/>
    <n v="1"/>
    <n v="10"/>
    <b v="0"/>
    <n v="2"/>
    <n v="2"/>
    <n v="0.2"/>
    <x v="1"/>
    <x v="1"/>
    <x v="0"/>
    <s v="No"/>
  </r>
  <r>
    <n v="243"/>
    <x v="10"/>
    <n v="1"/>
    <n v="11"/>
    <b v="0"/>
    <n v="2"/>
    <n v="2"/>
    <n v="0.2"/>
    <x v="1"/>
    <x v="1"/>
    <x v="0"/>
    <s v="No"/>
  </r>
  <r>
    <n v="244"/>
    <x v="10"/>
    <n v="1"/>
    <n v="12"/>
    <b v="0"/>
    <n v="2"/>
    <n v="2"/>
    <n v="0.2"/>
    <x v="1"/>
    <x v="2"/>
    <x v="0"/>
    <s v="No"/>
  </r>
  <r>
    <n v="245"/>
    <x v="10"/>
    <n v="1"/>
    <n v="13"/>
    <b v="0"/>
    <n v="2"/>
    <n v="2"/>
    <n v="0.2"/>
    <x v="1"/>
    <x v="2"/>
    <x v="0"/>
    <s v="No"/>
  </r>
  <r>
    <n v="246"/>
    <x v="10"/>
    <n v="1"/>
    <n v="14"/>
    <b v="0"/>
    <n v="2"/>
    <n v="2"/>
    <n v="0.2"/>
    <x v="1"/>
    <x v="2"/>
    <x v="0"/>
    <s v="No"/>
  </r>
  <r>
    <n v="247"/>
    <x v="10"/>
    <n v="1"/>
    <n v="15"/>
    <b v="0"/>
    <n v="2"/>
    <n v="2"/>
    <n v="0.16"/>
    <x v="1"/>
    <x v="2"/>
    <x v="0"/>
    <s v="No"/>
  </r>
  <r>
    <n v="248"/>
    <x v="10"/>
    <n v="1"/>
    <n v="16"/>
    <b v="0"/>
    <n v="2"/>
    <n v="2"/>
    <n v="0.16"/>
    <x v="1"/>
    <x v="2"/>
    <x v="0"/>
    <s v="No"/>
  </r>
  <r>
    <n v="249"/>
    <x v="10"/>
    <n v="1"/>
    <n v="17"/>
    <b v="0"/>
    <n v="2"/>
    <n v="2"/>
    <n v="0.16"/>
    <x v="1"/>
    <x v="3"/>
    <x v="0"/>
    <s v="No"/>
  </r>
  <r>
    <n v="250"/>
    <x v="10"/>
    <n v="1"/>
    <n v="18"/>
    <b v="0"/>
    <n v="2"/>
    <n v="3"/>
    <n v="0.16"/>
    <x v="2"/>
    <x v="3"/>
    <x v="0"/>
    <s v="No"/>
  </r>
  <r>
    <n v="251"/>
    <x v="10"/>
    <n v="1"/>
    <n v="19"/>
    <b v="0"/>
    <n v="2"/>
    <n v="3"/>
    <n v="0.16"/>
    <x v="2"/>
    <x v="3"/>
    <x v="0"/>
    <s v="No"/>
  </r>
  <r>
    <n v="252"/>
    <x v="10"/>
    <n v="1"/>
    <n v="20"/>
    <b v="0"/>
    <n v="2"/>
    <n v="3"/>
    <n v="0.16"/>
    <x v="2"/>
    <x v="3"/>
    <x v="0"/>
    <s v="No"/>
  </r>
  <r>
    <n v="253"/>
    <x v="10"/>
    <n v="1"/>
    <n v="21"/>
    <b v="0"/>
    <n v="2"/>
    <n v="3"/>
    <n v="0.16"/>
    <x v="2"/>
    <x v="0"/>
    <x v="0"/>
    <s v="No"/>
  </r>
  <r>
    <n v="254"/>
    <x v="10"/>
    <n v="1"/>
    <n v="22"/>
    <b v="0"/>
    <n v="2"/>
    <n v="3"/>
    <n v="0.16"/>
    <x v="2"/>
    <x v="0"/>
    <x v="0"/>
    <s v="No"/>
  </r>
  <r>
    <n v="255"/>
    <x v="10"/>
    <n v="1"/>
    <n v="23"/>
    <b v="0"/>
    <n v="2"/>
    <n v="3"/>
    <n v="0.16"/>
    <x v="2"/>
    <x v="0"/>
    <x v="0"/>
    <s v="No"/>
  </r>
  <r>
    <n v="256"/>
    <x v="11"/>
    <n v="1"/>
    <n v="0"/>
    <b v="0"/>
    <n v="3"/>
    <n v="2"/>
    <n v="0.16"/>
    <x v="1"/>
    <x v="0"/>
    <x v="0"/>
    <s v="No"/>
  </r>
  <r>
    <n v="257"/>
    <x v="11"/>
    <n v="1"/>
    <n v="1"/>
    <b v="0"/>
    <n v="3"/>
    <n v="2"/>
    <n v="0.16"/>
    <x v="1"/>
    <x v="0"/>
    <x v="0"/>
    <s v="No"/>
  </r>
  <r>
    <n v="258"/>
    <x v="11"/>
    <n v="1"/>
    <n v="2"/>
    <b v="0"/>
    <n v="3"/>
    <n v="1"/>
    <n v="0.14000000000000001"/>
    <x v="0"/>
    <x v="0"/>
    <x v="4"/>
    <s v="No"/>
  </r>
  <r>
    <n v="259"/>
    <x v="11"/>
    <n v="1"/>
    <n v="5"/>
    <b v="0"/>
    <n v="3"/>
    <n v="1"/>
    <n v="0.14000000000000001"/>
    <x v="0"/>
    <x v="0"/>
    <x v="4"/>
    <s v="No"/>
  </r>
  <r>
    <n v="260"/>
    <x v="11"/>
    <n v="1"/>
    <n v="6"/>
    <b v="0"/>
    <n v="3"/>
    <n v="1"/>
    <n v="0.12"/>
    <x v="0"/>
    <x v="1"/>
    <x v="4"/>
    <s v="No"/>
  </r>
  <r>
    <n v="261"/>
    <x v="11"/>
    <n v="1"/>
    <n v="7"/>
    <b v="0"/>
    <n v="3"/>
    <n v="1"/>
    <n v="0.14000000000000001"/>
    <x v="0"/>
    <x v="1"/>
    <x v="4"/>
    <s v="No"/>
  </r>
  <r>
    <n v="262"/>
    <x v="11"/>
    <n v="1"/>
    <n v="8"/>
    <b v="0"/>
    <n v="3"/>
    <n v="1"/>
    <n v="0.16"/>
    <x v="0"/>
    <x v="1"/>
    <x v="0"/>
    <s v="No"/>
  </r>
  <r>
    <n v="263"/>
    <x v="11"/>
    <n v="1"/>
    <n v="9"/>
    <b v="0"/>
    <n v="3"/>
    <n v="1"/>
    <n v="0.16"/>
    <x v="0"/>
    <x v="1"/>
    <x v="0"/>
    <s v="No"/>
  </r>
  <r>
    <n v="264"/>
    <x v="11"/>
    <n v="1"/>
    <n v="10"/>
    <b v="0"/>
    <n v="3"/>
    <n v="1"/>
    <n v="0.18"/>
    <x v="0"/>
    <x v="1"/>
    <x v="0"/>
    <s v="No"/>
  </r>
  <r>
    <n v="265"/>
    <x v="11"/>
    <n v="1"/>
    <n v="11"/>
    <b v="0"/>
    <n v="3"/>
    <n v="1"/>
    <n v="0.2"/>
    <x v="0"/>
    <x v="1"/>
    <x v="0"/>
    <s v="No"/>
  </r>
  <r>
    <n v="266"/>
    <x v="11"/>
    <n v="1"/>
    <n v="12"/>
    <b v="0"/>
    <n v="3"/>
    <n v="1"/>
    <n v="0.2"/>
    <x v="0"/>
    <x v="2"/>
    <x v="0"/>
    <s v="No"/>
  </r>
  <r>
    <n v="267"/>
    <x v="11"/>
    <n v="1"/>
    <n v="13"/>
    <b v="0"/>
    <n v="3"/>
    <n v="1"/>
    <n v="0.22"/>
    <x v="0"/>
    <x v="2"/>
    <x v="0"/>
    <s v="No"/>
  </r>
  <r>
    <n v="268"/>
    <x v="11"/>
    <n v="1"/>
    <n v="14"/>
    <b v="0"/>
    <n v="3"/>
    <n v="1"/>
    <n v="0.2"/>
    <x v="0"/>
    <x v="2"/>
    <x v="0"/>
    <s v="No"/>
  </r>
  <r>
    <n v="269"/>
    <x v="11"/>
    <n v="1"/>
    <n v="15"/>
    <b v="0"/>
    <n v="3"/>
    <n v="1"/>
    <n v="0.2"/>
    <x v="0"/>
    <x v="2"/>
    <x v="0"/>
    <s v="No"/>
  </r>
  <r>
    <n v="270"/>
    <x v="11"/>
    <n v="1"/>
    <n v="16"/>
    <b v="0"/>
    <n v="3"/>
    <n v="1"/>
    <n v="0.22"/>
    <x v="0"/>
    <x v="2"/>
    <x v="0"/>
    <s v="No"/>
  </r>
  <r>
    <n v="271"/>
    <x v="11"/>
    <n v="1"/>
    <n v="17"/>
    <b v="0"/>
    <n v="3"/>
    <n v="1"/>
    <n v="0.2"/>
    <x v="0"/>
    <x v="3"/>
    <x v="0"/>
    <s v="No"/>
  </r>
  <r>
    <n v="272"/>
    <x v="11"/>
    <n v="1"/>
    <n v="18"/>
    <b v="0"/>
    <n v="3"/>
    <n v="1"/>
    <n v="0.2"/>
    <x v="0"/>
    <x v="3"/>
    <x v="0"/>
    <s v="No"/>
  </r>
  <r>
    <n v="273"/>
    <x v="11"/>
    <n v="1"/>
    <n v="19"/>
    <b v="0"/>
    <n v="3"/>
    <n v="1"/>
    <n v="0.18"/>
    <x v="0"/>
    <x v="3"/>
    <x v="0"/>
    <s v="No"/>
  </r>
  <r>
    <n v="274"/>
    <x v="11"/>
    <n v="1"/>
    <n v="20"/>
    <b v="0"/>
    <n v="3"/>
    <n v="1"/>
    <n v="0.16"/>
    <x v="0"/>
    <x v="3"/>
    <x v="0"/>
    <s v="No"/>
  </r>
  <r>
    <n v="275"/>
    <x v="11"/>
    <n v="1"/>
    <n v="21"/>
    <b v="0"/>
    <n v="3"/>
    <n v="1"/>
    <n v="0.16"/>
    <x v="0"/>
    <x v="0"/>
    <x v="0"/>
    <s v="No"/>
  </r>
  <r>
    <n v="276"/>
    <x v="11"/>
    <n v="1"/>
    <n v="22"/>
    <b v="0"/>
    <n v="3"/>
    <n v="1"/>
    <n v="0.16"/>
    <x v="0"/>
    <x v="0"/>
    <x v="0"/>
    <s v="No"/>
  </r>
  <r>
    <n v="277"/>
    <x v="11"/>
    <n v="1"/>
    <n v="23"/>
    <b v="0"/>
    <n v="3"/>
    <n v="1"/>
    <n v="0.14000000000000001"/>
    <x v="0"/>
    <x v="0"/>
    <x v="4"/>
    <s v="No"/>
  </r>
  <r>
    <n v="278"/>
    <x v="12"/>
    <n v="1"/>
    <n v="0"/>
    <b v="0"/>
    <n v="4"/>
    <n v="1"/>
    <n v="0.14000000000000001"/>
    <x v="0"/>
    <x v="0"/>
    <x v="4"/>
    <s v="No"/>
  </r>
  <r>
    <n v="279"/>
    <x v="12"/>
    <n v="1"/>
    <n v="1"/>
    <b v="0"/>
    <n v="4"/>
    <n v="1"/>
    <n v="0.14000000000000001"/>
    <x v="0"/>
    <x v="0"/>
    <x v="4"/>
    <s v="No"/>
  </r>
  <r>
    <n v="280"/>
    <x v="12"/>
    <n v="1"/>
    <n v="2"/>
    <b v="0"/>
    <n v="4"/>
    <n v="1"/>
    <n v="0.14000000000000001"/>
    <x v="0"/>
    <x v="0"/>
    <x v="4"/>
    <s v="No"/>
  </r>
  <r>
    <n v="281"/>
    <x v="12"/>
    <n v="1"/>
    <n v="3"/>
    <b v="0"/>
    <n v="4"/>
    <n v="1"/>
    <n v="0.14000000000000001"/>
    <x v="0"/>
    <x v="0"/>
    <x v="4"/>
    <s v="No"/>
  </r>
  <r>
    <n v="282"/>
    <x v="12"/>
    <n v="1"/>
    <n v="4"/>
    <b v="0"/>
    <n v="4"/>
    <n v="1"/>
    <n v="0.14000000000000001"/>
    <x v="0"/>
    <x v="0"/>
    <x v="4"/>
    <s v="No"/>
  </r>
  <r>
    <n v="283"/>
    <x v="12"/>
    <n v="1"/>
    <n v="5"/>
    <b v="0"/>
    <n v="4"/>
    <n v="1"/>
    <n v="0.14000000000000001"/>
    <x v="0"/>
    <x v="0"/>
    <x v="4"/>
    <s v="No"/>
  </r>
  <r>
    <n v="284"/>
    <x v="12"/>
    <n v="1"/>
    <n v="6"/>
    <b v="0"/>
    <n v="4"/>
    <n v="1"/>
    <n v="0.12"/>
    <x v="0"/>
    <x v="1"/>
    <x v="4"/>
    <s v="No"/>
  </r>
  <r>
    <n v="285"/>
    <x v="12"/>
    <n v="1"/>
    <n v="7"/>
    <b v="0"/>
    <n v="4"/>
    <n v="1"/>
    <n v="0.12"/>
    <x v="0"/>
    <x v="1"/>
    <x v="4"/>
    <s v="No"/>
  </r>
  <r>
    <n v="286"/>
    <x v="12"/>
    <n v="1"/>
    <n v="8"/>
    <b v="0"/>
    <n v="4"/>
    <n v="1"/>
    <n v="0.14000000000000001"/>
    <x v="0"/>
    <x v="1"/>
    <x v="4"/>
    <s v="No"/>
  </r>
  <r>
    <n v="287"/>
    <x v="12"/>
    <n v="1"/>
    <n v="9"/>
    <b v="0"/>
    <n v="4"/>
    <n v="1"/>
    <n v="0.14000000000000001"/>
    <x v="0"/>
    <x v="1"/>
    <x v="4"/>
    <s v="No"/>
  </r>
  <r>
    <n v="288"/>
    <x v="12"/>
    <n v="1"/>
    <n v="10"/>
    <b v="0"/>
    <n v="4"/>
    <n v="2"/>
    <n v="0.16"/>
    <x v="1"/>
    <x v="1"/>
    <x v="0"/>
    <s v="No"/>
  </r>
  <r>
    <n v="289"/>
    <x v="12"/>
    <n v="1"/>
    <n v="11"/>
    <b v="0"/>
    <n v="4"/>
    <n v="2"/>
    <n v="0.2"/>
    <x v="1"/>
    <x v="1"/>
    <x v="0"/>
    <s v="No"/>
  </r>
  <r>
    <n v="290"/>
    <x v="12"/>
    <n v="1"/>
    <n v="12"/>
    <b v="0"/>
    <n v="4"/>
    <n v="1"/>
    <n v="0.2"/>
    <x v="0"/>
    <x v="2"/>
    <x v="0"/>
    <s v="No"/>
  </r>
  <r>
    <n v="291"/>
    <x v="12"/>
    <n v="1"/>
    <n v="13"/>
    <b v="0"/>
    <n v="4"/>
    <n v="1"/>
    <n v="0.22"/>
    <x v="0"/>
    <x v="2"/>
    <x v="0"/>
    <s v="No"/>
  </r>
  <r>
    <n v="292"/>
    <x v="12"/>
    <n v="1"/>
    <n v="14"/>
    <b v="0"/>
    <n v="4"/>
    <n v="1"/>
    <n v="0.22"/>
    <x v="0"/>
    <x v="2"/>
    <x v="0"/>
    <s v="No"/>
  </r>
  <r>
    <n v="293"/>
    <x v="12"/>
    <n v="1"/>
    <n v="15"/>
    <b v="0"/>
    <n v="4"/>
    <n v="1"/>
    <n v="0.24"/>
    <x v="0"/>
    <x v="2"/>
    <x v="0"/>
    <s v="No"/>
  </r>
  <r>
    <n v="294"/>
    <x v="12"/>
    <n v="1"/>
    <n v="16"/>
    <b v="0"/>
    <n v="4"/>
    <n v="1"/>
    <n v="0.24"/>
    <x v="0"/>
    <x v="2"/>
    <x v="0"/>
    <s v="No"/>
  </r>
  <r>
    <n v="295"/>
    <x v="12"/>
    <n v="1"/>
    <n v="17"/>
    <b v="0"/>
    <n v="4"/>
    <n v="1"/>
    <n v="0.2"/>
    <x v="0"/>
    <x v="3"/>
    <x v="0"/>
    <s v="No"/>
  </r>
  <r>
    <n v="296"/>
    <x v="12"/>
    <n v="1"/>
    <n v="18"/>
    <b v="0"/>
    <n v="4"/>
    <n v="1"/>
    <n v="0.2"/>
    <x v="0"/>
    <x v="3"/>
    <x v="0"/>
    <s v="No"/>
  </r>
  <r>
    <n v="297"/>
    <x v="12"/>
    <n v="1"/>
    <n v="19"/>
    <b v="0"/>
    <n v="4"/>
    <n v="1"/>
    <n v="0.16"/>
    <x v="0"/>
    <x v="3"/>
    <x v="0"/>
    <s v="No"/>
  </r>
  <r>
    <n v="298"/>
    <x v="12"/>
    <n v="1"/>
    <n v="20"/>
    <b v="0"/>
    <n v="4"/>
    <n v="1"/>
    <n v="0.16"/>
    <x v="0"/>
    <x v="3"/>
    <x v="0"/>
    <s v="No"/>
  </r>
  <r>
    <n v="299"/>
    <x v="12"/>
    <n v="1"/>
    <n v="21"/>
    <b v="0"/>
    <n v="4"/>
    <n v="1"/>
    <n v="0.14000000000000001"/>
    <x v="0"/>
    <x v="0"/>
    <x v="4"/>
    <s v="No"/>
  </r>
  <r>
    <n v="300"/>
    <x v="12"/>
    <n v="1"/>
    <n v="22"/>
    <b v="0"/>
    <n v="4"/>
    <n v="1"/>
    <n v="0.14000000000000001"/>
    <x v="0"/>
    <x v="0"/>
    <x v="4"/>
    <s v="No"/>
  </r>
  <r>
    <n v="301"/>
    <x v="12"/>
    <n v="1"/>
    <n v="23"/>
    <b v="0"/>
    <n v="4"/>
    <n v="1"/>
    <n v="0.12"/>
    <x v="0"/>
    <x v="0"/>
    <x v="4"/>
    <s v="No"/>
  </r>
  <r>
    <n v="302"/>
    <x v="13"/>
    <n v="1"/>
    <n v="0"/>
    <b v="0"/>
    <n v="5"/>
    <n v="1"/>
    <n v="0.12"/>
    <x v="0"/>
    <x v="0"/>
    <x v="4"/>
    <s v="No"/>
  </r>
  <r>
    <n v="303"/>
    <x v="13"/>
    <n v="1"/>
    <n v="1"/>
    <b v="0"/>
    <n v="5"/>
    <n v="1"/>
    <n v="0.1"/>
    <x v="0"/>
    <x v="0"/>
    <x v="4"/>
    <s v="No"/>
  </r>
  <r>
    <n v="304"/>
    <x v="13"/>
    <n v="1"/>
    <n v="2"/>
    <b v="0"/>
    <n v="5"/>
    <n v="1"/>
    <n v="0.1"/>
    <x v="0"/>
    <x v="0"/>
    <x v="4"/>
    <s v="No"/>
  </r>
  <r>
    <n v="305"/>
    <x v="13"/>
    <n v="1"/>
    <n v="3"/>
    <b v="0"/>
    <n v="5"/>
    <n v="1"/>
    <n v="0.1"/>
    <x v="0"/>
    <x v="0"/>
    <x v="4"/>
    <s v="No"/>
  </r>
  <r>
    <n v="306"/>
    <x v="13"/>
    <n v="1"/>
    <n v="5"/>
    <b v="0"/>
    <n v="5"/>
    <n v="1"/>
    <n v="0.1"/>
    <x v="0"/>
    <x v="0"/>
    <x v="4"/>
    <s v="No"/>
  </r>
  <r>
    <n v="307"/>
    <x v="13"/>
    <n v="1"/>
    <n v="6"/>
    <b v="0"/>
    <n v="5"/>
    <n v="1"/>
    <n v="0.1"/>
    <x v="0"/>
    <x v="1"/>
    <x v="4"/>
    <s v="No"/>
  </r>
  <r>
    <n v="308"/>
    <x v="13"/>
    <n v="1"/>
    <n v="7"/>
    <b v="0"/>
    <n v="5"/>
    <n v="1"/>
    <n v="0.1"/>
    <x v="0"/>
    <x v="1"/>
    <x v="4"/>
    <s v="No"/>
  </r>
  <r>
    <n v="309"/>
    <x v="13"/>
    <n v="1"/>
    <n v="8"/>
    <b v="0"/>
    <n v="5"/>
    <n v="1"/>
    <n v="0.12"/>
    <x v="0"/>
    <x v="1"/>
    <x v="4"/>
    <s v="No"/>
  </r>
  <r>
    <n v="310"/>
    <x v="13"/>
    <n v="1"/>
    <n v="9"/>
    <b v="0"/>
    <n v="5"/>
    <n v="1"/>
    <n v="0.14000000000000001"/>
    <x v="0"/>
    <x v="1"/>
    <x v="4"/>
    <s v="No"/>
  </r>
  <r>
    <n v="311"/>
    <x v="13"/>
    <n v="1"/>
    <n v="10"/>
    <b v="0"/>
    <n v="5"/>
    <n v="1"/>
    <n v="0.18"/>
    <x v="0"/>
    <x v="1"/>
    <x v="0"/>
    <s v="No"/>
  </r>
  <r>
    <n v="312"/>
    <x v="13"/>
    <n v="1"/>
    <n v="11"/>
    <b v="0"/>
    <n v="5"/>
    <n v="1"/>
    <n v="0.18"/>
    <x v="0"/>
    <x v="1"/>
    <x v="0"/>
    <s v="No"/>
  </r>
  <r>
    <n v="313"/>
    <x v="13"/>
    <n v="1"/>
    <n v="12"/>
    <b v="0"/>
    <n v="5"/>
    <n v="1"/>
    <n v="0.2"/>
    <x v="0"/>
    <x v="2"/>
    <x v="0"/>
    <s v="No"/>
  </r>
  <r>
    <n v="314"/>
    <x v="13"/>
    <n v="1"/>
    <n v="13"/>
    <b v="0"/>
    <n v="5"/>
    <n v="1"/>
    <n v="0.22"/>
    <x v="0"/>
    <x v="2"/>
    <x v="0"/>
    <s v="No"/>
  </r>
  <r>
    <n v="315"/>
    <x v="13"/>
    <n v="1"/>
    <n v="14"/>
    <b v="0"/>
    <n v="5"/>
    <n v="1"/>
    <n v="0.22"/>
    <x v="0"/>
    <x v="2"/>
    <x v="0"/>
    <s v="No"/>
  </r>
  <r>
    <n v="316"/>
    <x v="13"/>
    <n v="1"/>
    <n v="15"/>
    <b v="0"/>
    <n v="5"/>
    <n v="1"/>
    <n v="0.24"/>
    <x v="0"/>
    <x v="2"/>
    <x v="0"/>
    <s v="No"/>
  </r>
  <r>
    <n v="317"/>
    <x v="13"/>
    <n v="1"/>
    <n v="16"/>
    <b v="0"/>
    <n v="5"/>
    <n v="1"/>
    <n v="0.22"/>
    <x v="0"/>
    <x v="2"/>
    <x v="0"/>
    <s v="No"/>
  </r>
  <r>
    <n v="318"/>
    <x v="13"/>
    <n v="1"/>
    <n v="17"/>
    <b v="0"/>
    <n v="5"/>
    <n v="1"/>
    <n v="0.22"/>
    <x v="0"/>
    <x v="3"/>
    <x v="0"/>
    <s v="No"/>
  </r>
  <r>
    <n v="319"/>
    <x v="13"/>
    <n v="1"/>
    <n v="18"/>
    <b v="0"/>
    <n v="5"/>
    <n v="1"/>
    <n v="0.2"/>
    <x v="0"/>
    <x v="3"/>
    <x v="0"/>
    <s v="No"/>
  </r>
  <r>
    <n v="320"/>
    <x v="13"/>
    <n v="1"/>
    <n v="19"/>
    <b v="0"/>
    <n v="5"/>
    <n v="1"/>
    <n v="0.16"/>
    <x v="0"/>
    <x v="3"/>
    <x v="0"/>
    <s v="No"/>
  </r>
  <r>
    <n v="321"/>
    <x v="13"/>
    <n v="1"/>
    <n v="20"/>
    <b v="0"/>
    <n v="5"/>
    <n v="1"/>
    <n v="0.18"/>
    <x v="0"/>
    <x v="3"/>
    <x v="0"/>
    <s v="No"/>
  </r>
  <r>
    <n v="322"/>
    <x v="13"/>
    <n v="1"/>
    <n v="21"/>
    <b v="0"/>
    <n v="5"/>
    <n v="1"/>
    <n v="0.16"/>
    <x v="0"/>
    <x v="0"/>
    <x v="0"/>
    <s v="No"/>
  </r>
  <r>
    <n v="323"/>
    <x v="13"/>
    <n v="1"/>
    <n v="22"/>
    <b v="0"/>
    <n v="5"/>
    <n v="2"/>
    <n v="0.16"/>
    <x v="1"/>
    <x v="0"/>
    <x v="0"/>
    <s v="No"/>
  </r>
  <r>
    <n v="324"/>
    <x v="13"/>
    <n v="1"/>
    <n v="23"/>
    <b v="0"/>
    <n v="5"/>
    <n v="2"/>
    <n v="0.18"/>
    <x v="1"/>
    <x v="0"/>
    <x v="0"/>
    <s v="No"/>
  </r>
  <r>
    <n v="325"/>
    <x v="14"/>
    <n v="1"/>
    <n v="0"/>
    <b v="0"/>
    <n v="6"/>
    <n v="1"/>
    <n v="0.18"/>
    <x v="0"/>
    <x v="0"/>
    <x v="0"/>
    <s v="Yes"/>
  </r>
  <r>
    <n v="326"/>
    <x v="14"/>
    <n v="1"/>
    <n v="1"/>
    <b v="0"/>
    <n v="6"/>
    <n v="2"/>
    <n v="0.16"/>
    <x v="1"/>
    <x v="0"/>
    <x v="0"/>
    <s v="Yes"/>
  </r>
  <r>
    <n v="327"/>
    <x v="14"/>
    <n v="1"/>
    <n v="2"/>
    <b v="0"/>
    <n v="6"/>
    <n v="2"/>
    <n v="0.16"/>
    <x v="1"/>
    <x v="0"/>
    <x v="0"/>
    <s v="Yes"/>
  </r>
  <r>
    <n v="328"/>
    <x v="14"/>
    <n v="1"/>
    <n v="3"/>
    <b v="0"/>
    <n v="6"/>
    <n v="2"/>
    <n v="0.16"/>
    <x v="1"/>
    <x v="0"/>
    <x v="0"/>
    <s v="Yes"/>
  </r>
  <r>
    <n v="329"/>
    <x v="14"/>
    <n v="1"/>
    <n v="4"/>
    <b v="0"/>
    <n v="6"/>
    <n v="2"/>
    <n v="0.16"/>
    <x v="1"/>
    <x v="0"/>
    <x v="0"/>
    <s v="Yes"/>
  </r>
  <r>
    <n v="330"/>
    <x v="14"/>
    <n v="1"/>
    <n v="5"/>
    <b v="0"/>
    <n v="6"/>
    <n v="1"/>
    <n v="0.16"/>
    <x v="0"/>
    <x v="0"/>
    <x v="0"/>
    <s v="Yes"/>
  </r>
  <r>
    <n v="331"/>
    <x v="14"/>
    <n v="1"/>
    <n v="6"/>
    <b v="0"/>
    <n v="6"/>
    <n v="1"/>
    <n v="0.14000000000000001"/>
    <x v="0"/>
    <x v="1"/>
    <x v="4"/>
    <s v="Yes"/>
  </r>
  <r>
    <n v="332"/>
    <x v="14"/>
    <n v="1"/>
    <n v="7"/>
    <b v="0"/>
    <n v="6"/>
    <n v="1"/>
    <n v="0.14000000000000001"/>
    <x v="0"/>
    <x v="1"/>
    <x v="4"/>
    <s v="Yes"/>
  </r>
  <r>
    <n v="333"/>
    <x v="14"/>
    <n v="1"/>
    <n v="8"/>
    <b v="0"/>
    <n v="6"/>
    <n v="1"/>
    <n v="0.14000000000000001"/>
    <x v="0"/>
    <x v="1"/>
    <x v="4"/>
    <s v="Yes"/>
  </r>
  <r>
    <n v="334"/>
    <x v="14"/>
    <n v="1"/>
    <n v="9"/>
    <b v="0"/>
    <n v="6"/>
    <n v="1"/>
    <n v="0.16"/>
    <x v="0"/>
    <x v="1"/>
    <x v="0"/>
    <s v="Yes"/>
  </r>
  <r>
    <n v="335"/>
    <x v="14"/>
    <n v="1"/>
    <n v="10"/>
    <b v="0"/>
    <n v="6"/>
    <n v="1"/>
    <n v="0.18"/>
    <x v="0"/>
    <x v="1"/>
    <x v="0"/>
    <s v="Yes"/>
  </r>
  <r>
    <n v="336"/>
    <x v="14"/>
    <n v="1"/>
    <n v="11"/>
    <b v="0"/>
    <n v="6"/>
    <n v="1"/>
    <n v="0.2"/>
    <x v="0"/>
    <x v="1"/>
    <x v="0"/>
    <s v="Yes"/>
  </r>
  <r>
    <n v="337"/>
    <x v="14"/>
    <n v="1"/>
    <n v="12"/>
    <b v="0"/>
    <n v="6"/>
    <n v="1"/>
    <n v="0.24"/>
    <x v="0"/>
    <x v="2"/>
    <x v="0"/>
    <s v="Yes"/>
  </r>
  <r>
    <n v="338"/>
    <x v="14"/>
    <n v="1"/>
    <n v="13"/>
    <b v="0"/>
    <n v="6"/>
    <n v="1"/>
    <n v="0.28000000000000003"/>
    <x v="0"/>
    <x v="2"/>
    <x v="1"/>
    <s v="Yes"/>
  </r>
  <r>
    <n v="339"/>
    <x v="14"/>
    <n v="1"/>
    <n v="14"/>
    <b v="0"/>
    <n v="6"/>
    <n v="1"/>
    <n v="0.3"/>
    <x v="0"/>
    <x v="2"/>
    <x v="1"/>
    <s v="Yes"/>
  </r>
  <r>
    <n v="340"/>
    <x v="14"/>
    <n v="1"/>
    <n v="15"/>
    <b v="0"/>
    <n v="6"/>
    <n v="2"/>
    <n v="0.32"/>
    <x v="1"/>
    <x v="2"/>
    <x v="1"/>
    <s v="Yes"/>
  </r>
  <r>
    <n v="341"/>
    <x v="14"/>
    <n v="1"/>
    <n v="16"/>
    <b v="0"/>
    <n v="6"/>
    <n v="2"/>
    <n v="0.34"/>
    <x v="1"/>
    <x v="2"/>
    <x v="1"/>
    <s v="Yes"/>
  </r>
  <r>
    <n v="342"/>
    <x v="14"/>
    <n v="1"/>
    <n v="17"/>
    <b v="0"/>
    <n v="6"/>
    <n v="2"/>
    <n v="0.32"/>
    <x v="1"/>
    <x v="3"/>
    <x v="1"/>
    <s v="Yes"/>
  </r>
  <r>
    <n v="343"/>
    <x v="14"/>
    <n v="1"/>
    <n v="18"/>
    <b v="0"/>
    <n v="6"/>
    <n v="2"/>
    <n v="0.3"/>
    <x v="1"/>
    <x v="3"/>
    <x v="1"/>
    <s v="Yes"/>
  </r>
  <r>
    <n v="344"/>
    <x v="14"/>
    <n v="1"/>
    <n v="19"/>
    <b v="0"/>
    <n v="6"/>
    <n v="2"/>
    <n v="0.32"/>
    <x v="1"/>
    <x v="3"/>
    <x v="1"/>
    <s v="Yes"/>
  </r>
  <r>
    <n v="345"/>
    <x v="14"/>
    <n v="1"/>
    <n v="20"/>
    <b v="0"/>
    <n v="6"/>
    <n v="2"/>
    <n v="0.32"/>
    <x v="1"/>
    <x v="3"/>
    <x v="1"/>
    <s v="Yes"/>
  </r>
  <r>
    <n v="346"/>
    <x v="14"/>
    <n v="1"/>
    <n v="21"/>
    <b v="0"/>
    <n v="6"/>
    <n v="2"/>
    <n v="0.32"/>
    <x v="1"/>
    <x v="0"/>
    <x v="1"/>
    <s v="Yes"/>
  </r>
  <r>
    <n v="347"/>
    <x v="14"/>
    <n v="1"/>
    <n v="22"/>
    <b v="0"/>
    <n v="6"/>
    <n v="2"/>
    <n v="0.3"/>
    <x v="1"/>
    <x v="0"/>
    <x v="1"/>
    <s v="Yes"/>
  </r>
  <r>
    <n v="348"/>
    <x v="14"/>
    <n v="1"/>
    <n v="23"/>
    <b v="0"/>
    <n v="6"/>
    <n v="1"/>
    <n v="0.3"/>
    <x v="0"/>
    <x v="0"/>
    <x v="1"/>
    <s v="Yes"/>
  </r>
  <r>
    <n v="349"/>
    <x v="15"/>
    <n v="1"/>
    <n v="0"/>
    <b v="0"/>
    <n v="0"/>
    <n v="1"/>
    <n v="0.26"/>
    <x v="0"/>
    <x v="0"/>
    <x v="1"/>
    <s v="Yes"/>
  </r>
  <r>
    <n v="350"/>
    <x v="15"/>
    <n v="1"/>
    <n v="1"/>
    <b v="0"/>
    <n v="0"/>
    <n v="1"/>
    <n v="0.26"/>
    <x v="0"/>
    <x v="0"/>
    <x v="1"/>
    <s v="Yes"/>
  </r>
  <r>
    <n v="351"/>
    <x v="15"/>
    <n v="1"/>
    <n v="2"/>
    <b v="0"/>
    <n v="0"/>
    <n v="1"/>
    <n v="0.26"/>
    <x v="0"/>
    <x v="0"/>
    <x v="1"/>
    <s v="Yes"/>
  </r>
  <r>
    <n v="352"/>
    <x v="15"/>
    <n v="1"/>
    <n v="3"/>
    <b v="0"/>
    <n v="0"/>
    <n v="1"/>
    <n v="0.22"/>
    <x v="0"/>
    <x v="0"/>
    <x v="0"/>
    <s v="Yes"/>
  </r>
  <r>
    <n v="353"/>
    <x v="15"/>
    <n v="1"/>
    <n v="4"/>
    <b v="0"/>
    <n v="0"/>
    <n v="1"/>
    <n v="0.26"/>
    <x v="0"/>
    <x v="0"/>
    <x v="1"/>
    <s v="Yes"/>
  </r>
  <r>
    <n v="354"/>
    <x v="15"/>
    <n v="1"/>
    <n v="5"/>
    <b v="0"/>
    <n v="0"/>
    <n v="2"/>
    <n v="0.26"/>
    <x v="1"/>
    <x v="0"/>
    <x v="1"/>
    <s v="Yes"/>
  </r>
  <r>
    <n v="355"/>
    <x v="15"/>
    <n v="1"/>
    <n v="6"/>
    <b v="0"/>
    <n v="0"/>
    <n v="2"/>
    <n v="0.26"/>
    <x v="1"/>
    <x v="1"/>
    <x v="1"/>
    <s v="Yes"/>
  </r>
  <r>
    <n v="356"/>
    <x v="15"/>
    <n v="1"/>
    <n v="7"/>
    <b v="0"/>
    <n v="0"/>
    <n v="2"/>
    <n v="0.24"/>
    <x v="1"/>
    <x v="1"/>
    <x v="0"/>
    <s v="Yes"/>
  </r>
  <r>
    <n v="357"/>
    <x v="15"/>
    <n v="1"/>
    <n v="8"/>
    <b v="0"/>
    <n v="0"/>
    <n v="1"/>
    <n v="0.22"/>
    <x v="0"/>
    <x v="1"/>
    <x v="0"/>
    <s v="Yes"/>
  </r>
  <r>
    <n v="358"/>
    <x v="15"/>
    <n v="1"/>
    <n v="9"/>
    <b v="0"/>
    <n v="0"/>
    <n v="1"/>
    <n v="0.22"/>
    <x v="0"/>
    <x v="1"/>
    <x v="0"/>
    <s v="Yes"/>
  </r>
  <r>
    <n v="359"/>
    <x v="15"/>
    <n v="1"/>
    <n v="10"/>
    <b v="0"/>
    <n v="0"/>
    <n v="1"/>
    <n v="0.22"/>
    <x v="0"/>
    <x v="1"/>
    <x v="0"/>
    <s v="Yes"/>
  </r>
  <r>
    <n v="360"/>
    <x v="15"/>
    <n v="1"/>
    <n v="11"/>
    <b v="0"/>
    <n v="0"/>
    <n v="1"/>
    <n v="0.24"/>
    <x v="0"/>
    <x v="1"/>
    <x v="0"/>
    <s v="Yes"/>
  </r>
  <r>
    <n v="361"/>
    <x v="15"/>
    <n v="1"/>
    <n v="12"/>
    <b v="0"/>
    <n v="0"/>
    <n v="1"/>
    <n v="0.24"/>
    <x v="0"/>
    <x v="2"/>
    <x v="0"/>
    <s v="Yes"/>
  </r>
  <r>
    <n v="362"/>
    <x v="15"/>
    <n v="1"/>
    <n v="13"/>
    <b v="0"/>
    <n v="0"/>
    <n v="1"/>
    <n v="0.26"/>
    <x v="0"/>
    <x v="2"/>
    <x v="1"/>
    <s v="Yes"/>
  </r>
  <r>
    <n v="363"/>
    <x v="15"/>
    <n v="1"/>
    <n v="14"/>
    <b v="0"/>
    <n v="0"/>
    <n v="1"/>
    <n v="0.28000000000000003"/>
    <x v="0"/>
    <x v="2"/>
    <x v="1"/>
    <s v="Yes"/>
  </r>
  <r>
    <n v="364"/>
    <x v="15"/>
    <n v="1"/>
    <n v="15"/>
    <b v="0"/>
    <n v="0"/>
    <n v="1"/>
    <n v="0.26"/>
    <x v="0"/>
    <x v="2"/>
    <x v="1"/>
    <s v="Yes"/>
  </r>
  <r>
    <n v="365"/>
    <x v="15"/>
    <n v="1"/>
    <n v="16"/>
    <b v="0"/>
    <n v="0"/>
    <n v="1"/>
    <n v="0.24"/>
    <x v="0"/>
    <x v="2"/>
    <x v="0"/>
    <s v="Yes"/>
  </r>
  <r>
    <n v="366"/>
    <x v="15"/>
    <n v="1"/>
    <n v="17"/>
    <b v="0"/>
    <n v="0"/>
    <n v="1"/>
    <n v="0.22"/>
    <x v="0"/>
    <x v="3"/>
    <x v="0"/>
    <s v="Yes"/>
  </r>
  <r>
    <n v="367"/>
    <x v="15"/>
    <n v="1"/>
    <n v="18"/>
    <b v="0"/>
    <n v="0"/>
    <n v="1"/>
    <n v="0.2"/>
    <x v="0"/>
    <x v="3"/>
    <x v="0"/>
    <s v="Yes"/>
  </r>
  <r>
    <n v="368"/>
    <x v="15"/>
    <n v="1"/>
    <n v="19"/>
    <b v="0"/>
    <n v="0"/>
    <n v="1"/>
    <n v="0.18"/>
    <x v="0"/>
    <x v="3"/>
    <x v="0"/>
    <s v="Yes"/>
  </r>
  <r>
    <n v="369"/>
    <x v="15"/>
    <n v="1"/>
    <n v="20"/>
    <b v="0"/>
    <n v="0"/>
    <n v="1"/>
    <n v="0.18"/>
    <x v="0"/>
    <x v="3"/>
    <x v="0"/>
    <s v="Yes"/>
  </r>
  <r>
    <n v="370"/>
    <x v="15"/>
    <n v="1"/>
    <n v="21"/>
    <b v="0"/>
    <n v="0"/>
    <n v="1"/>
    <n v="0.18"/>
    <x v="0"/>
    <x v="0"/>
    <x v="0"/>
    <s v="Yes"/>
  </r>
  <r>
    <n v="371"/>
    <x v="15"/>
    <n v="1"/>
    <n v="22"/>
    <b v="0"/>
    <n v="0"/>
    <n v="2"/>
    <n v="0.2"/>
    <x v="1"/>
    <x v="0"/>
    <x v="0"/>
    <s v="Yes"/>
  </r>
  <r>
    <n v="372"/>
    <x v="15"/>
    <n v="1"/>
    <n v="23"/>
    <b v="0"/>
    <n v="0"/>
    <n v="2"/>
    <n v="0.2"/>
    <x v="1"/>
    <x v="0"/>
    <x v="0"/>
    <s v="Yes"/>
  </r>
  <r>
    <n v="373"/>
    <x v="16"/>
    <n v="1"/>
    <n v="0"/>
    <b v="1"/>
    <n v="1"/>
    <n v="2"/>
    <n v="0.2"/>
    <x v="1"/>
    <x v="0"/>
    <x v="0"/>
    <s v="No"/>
  </r>
  <r>
    <n v="374"/>
    <x v="16"/>
    <n v="1"/>
    <n v="1"/>
    <b v="1"/>
    <n v="1"/>
    <n v="2"/>
    <n v="0.2"/>
    <x v="1"/>
    <x v="0"/>
    <x v="0"/>
    <s v="No"/>
  </r>
  <r>
    <n v="375"/>
    <x v="16"/>
    <n v="1"/>
    <n v="2"/>
    <b v="1"/>
    <n v="1"/>
    <n v="2"/>
    <n v="0.18"/>
    <x v="1"/>
    <x v="0"/>
    <x v="0"/>
    <s v="No"/>
  </r>
  <r>
    <n v="376"/>
    <x v="16"/>
    <n v="1"/>
    <n v="3"/>
    <b v="1"/>
    <n v="1"/>
    <n v="2"/>
    <n v="0.18"/>
    <x v="1"/>
    <x v="0"/>
    <x v="0"/>
    <s v="No"/>
  </r>
  <r>
    <n v="377"/>
    <x v="16"/>
    <n v="1"/>
    <n v="4"/>
    <b v="1"/>
    <n v="1"/>
    <n v="2"/>
    <n v="0.18"/>
    <x v="1"/>
    <x v="0"/>
    <x v="0"/>
    <s v="No"/>
  </r>
  <r>
    <n v="378"/>
    <x v="16"/>
    <n v="1"/>
    <n v="5"/>
    <b v="1"/>
    <n v="1"/>
    <n v="2"/>
    <n v="0.18"/>
    <x v="1"/>
    <x v="0"/>
    <x v="0"/>
    <s v="No"/>
  </r>
  <r>
    <n v="379"/>
    <x v="16"/>
    <n v="1"/>
    <n v="6"/>
    <b v="1"/>
    <n v="1"/>
    <n v="2"/>
    <n v="0.18"/>
    <x v="1"/>
    <x v="1"/>
    <x v="0"/>
    <s v="No"/>
  </r>
  <r>
    <n v="380"/>
    <x v="16"/>
    <n v="1"/>
    <n v="7"/>
    <b v="1"/>
    <n v="1"/>
    <n v="2"/>
    <n v="0.16"/>
    <x v="1"/>
    <x v="1"/>
    <x v="0"/>
    <s v="No"/>
  </r>
  <r>
    <n v="381"/>
    <x v="16"/>
    <n v="1"/>
    <n v="8"/>
    <b v="1"/>
    <n v="1"/>
    <n v="2"/>
    <n v="0.16"/>
    <x v="1"/>
    <x v="1"/>
    <x v="0"/>
    <s v="No"/>
  </r>
  <r>
    <n v="382"/>
    <x v="16"/>
    <n v="1"/>
    <n v="9"/>
    <b v="1"/>
    <n v="1"/>
    <n v="2"/>
    <n v="0.16"/>
    <x v="1"/>
    <x v="1"/>
    <x v="0"/>
    <s v="No"/>
  </r>
  <r>
    <n v="383"/>
    <x v="16"/>
    <n v="1"/>
    <n v="10"/>
    <b v="1"/>
    <n v="1"/>
    <n v="2"/>
    <n v="0.16"/>
    <x v="1"/>
    <x v="1"/>
    <x v="0"/>
    <s v="No"/>
  </r>
  <r>
    <n v="384"/>
    <x v="16"/>
    <n v="1"/>
    <n v="11"/>
    <b v="1"/>
    <n v="1"/>
    <n v="2"/>
    <n v="0.16"/>
    <x v="1"/>
    <x v="1"/>
    <x v="0"/>
    <s v="No"/>
  </r>
  <r>
    <n v="385"/>
    <x v="16"/>
    <n v="1"/>
    <n v="12"/>
    <b v="1"/>
    <n v="1"/>
    <n v="2"/>
    <n v="0.18"/>
    <x v="1"/>
    <x v="2"/>
    <x v="0"/>
    <s v="No"/>
  </r>
  <r>
    <n v="386"/>
    <x v="16"/>
    <n v="1"/>
    <n v="13"/>
    <b v="1"/>
    <n v="1"/>
    <n v="2"/>
    <n v="0.18"/>
    <x v="1"/>
    <x v="2"/>
    <x v="0"/>
    <s v="No"/>
  </r>
  <r>
    <n v="387"/>
    <x v="16"/>
    <n v="1"/>
    <n v="14"/>
    <b v="1"/>
    <n v="1"/>
    <n v="2"/>
    <n v="0.18"/>
    <x v="1"/>
    <x v="2"/>
    <x v="0"/>
    <s v="No"/>
  </r>
  <r>
    <n v="388"/>
    <x v="16"/>
    <n v="1"/>
    <n v="15"/>
    <b v="1"/>
    <n v="1"/>
    <n v="2"/>
    <n v="0.2"/>
    <x v="1"/>
    <x v="2"/>
    <x v="0"/>
    <s v="No"/>
  </r>
  <r>
    <n v="389"/>
    <x v="16"/>
    <n v="1"/>
    <n v="16"/>
    <b v="1"/>
    <n v="1"/>
    <n v="2"/>
    <n v="0.2"/>
    <x v="1"/>
    <x v="2"/>
    <x v="0"/>
    <s v="No"/>
  </r>
  <r>
    <n v="390"/>
    <x v="16"/>
    <n v="1"/>
    <n v="17"/>
    <b v="1"/>
    <n v="1"/>
    <n v="1"/>
    <n v="0.2"/>
    <x v="0"/>
    <x v="3"/>
    <x v="0"/>
    <s v="No"/>
  </r>
  <r>
    <n v="391"/>
    <x v="16"/>
    <n v="1"/>
    <n v="18"/>
    <b v="1"/>
    <n v="1"/>
    <n v="2"/>
    <n v="0.18"/>
    <x v="1"/>
    <x v="3"/>
    <x v="0"/>
    <s v="No"/>
  </r>
  <r>
    <n v="392"/>
    <x v="16"/>
    <n v="1"/>
    <n v="19"/>
    <b v="1"/>
    <n v="1"/>
    <n v="3"/>
    <n v="0.18"/>
    <x v="2"/>
    <x v="3"/>
    <x v="0"/>
    <s v="No"/>
  </r>
  <r>
    <n v="393"/>
    <x v="16"/>
    <n v="1"/>
    <n v="20"/>
    <b v="1"/>
    <n v="1"/>
    <n v="3"/>
    <n v="0.16"/>
    <x v="2"/>
    <x v="3"/>
    <x v="0"/>
    <s v="No"/>
  </r>
  <r>
    <n v="394"/>
    <x v="16"/>
    <n v="1"/>
    <n v="21"/>
    <b v="1"/>
    <n v="1"/>
    <n v="3"/>
    <n v="0.16"/>
    <x v="2"/>
    <x v="0"/>
    <x v="0"/>
    <s v="No"/>
  </r>
  <r>
    <n v="395"/>
    <x v="16"/>
    <n v="1"/>
    <n v="22"/>
    <b v="1"/>
    <n v="1"/>
    <n v="3"/>
    <n v="0.14000000000000001"/>
    <x v="2"/>
    <x v="0"/>
    <x v="4"/>
    <s v="No"/>
  </r>
  <r>
    <n v="396"/>
    <x v="16"/>
    <n v="1"/>
    <n v="23"/>
    <b v="1"/>
    <n v="1"/>
    <n v="3"/>
    <n v="0.16"/>
    <x v="2"/>
    <x v="0"/>
    <x v="0"/>
    <s v="No"/>
  </r>
  <r>
    <n v="397"/>
    <x v="17"/>
    <n v="1"/>
    <n v="12"/>
    <b v="0"/>
    <n v="2"/>
    <n v="2"/>
    <n v="0.2"/>
    <x v="1"/>
    <x v="2"/>
    <x v="0"/>
    <s v="No"/>
  </r>
  <r>
    <n v="398"/>
    <x v="17"/>
    <n v="1"/>
    <n v="13"/>
    <b v="0"/>
    <n v="2"/>
    <n v="2"/>
    <n v="0.2"/>
    <x v="1"/>
    <x v="2"/>
    <x v="0"/>
    <s v="No"/>
  </r>
  <r>
    <n v="399"/>
    <x v="17"/>
    <n v="1"/>
    <n v="14"/>
    <b v="0"/>
    <n v="2"/>
    <n v="2"/>
    <n v="0.22"/>
    <x v="1"/>
    <x v="2"/>
    <x v="0"/>
    <s v="No"/>
  </r>
  <r>
    <n v="400"/>
    <x v="17"/>
    <n v="1"/>
    <n v="15"/>
    <b v="0"/>
    <n v="2"/>
    <n v="2"/>
    <n v="0.22"/>
    <x v="1"/>
    <x v="2"/>
    <x v="0"/>
    <s v="No"/>
  </r>
  <r>
    <n v="401"/>
    <x v="17"/>
    <n v="1"/>
    <n v="16"/>
    <b v="0"/>
    <n v="2"/>
    <n v="2"/>
    <n v="0.22"/>
    <x v="1"/>
    <x v="2"/>
    <x v="0"/>
    <s v="No"/>
  </r>
  <r>
    <n v="402"/>
    <x v="17"/>
    <n v="1"/>
    <n v="17"/>
    <b v="0"/>
    <n v="2"/>
    <n v="2"/>
    <n v="0.22"/>
    <x v="1"/>
    <x v="3"/>
    <x v="0"/>
    <s v="No"/>
  </r>
  <r>
    <n v="403"/>
    <x v="17"/>
    <n v="1"/>
    <n v="18"/>
    <b v="0"/>
    <n v="2"/>
    <n v="2"/>
    <n v="0.22"/>
    <x v="1"/>
    <x v="3"/>
    <x v="0"/>
    <s v="No"/>
  </r>
  <r>
    <n v="404"/>
    <x v="17"/>
    <n v="1"/>
    <n v="19"/>
    <b v="0"/>
    <n v="2"/>
    <n v="2"/>
    <n v="0.22"/>
    <x v="1"/>
    <x v="3"/>
    <x v="0"/>
    <s v="No"/>
  </r>
  <r>
    <n v="405"/>
    <x v="17"/>
    <n v="1"/>
    <n v="20"/>
    <b v="0"/>
    <n v="2"/>
    <n v="2"/>
    <n v="0.22"/>
    <x v="1"/>
    <x v="3"/>
    <x v="0"/>
    <s v="No"/>
  </r>
  <r>
    <n v="406"/>
    <x v="17"/>
    <n v="1"/>
    <n v="21"/>
    <b v="0"/>
    <n v="2"/>
    <n v="2"/>
    <n v="0.22"/>
    <x v="1"/>
    <x v="0"/>
    <x v="0"/>
    <s v="No"/>
  </r>
  <r>
    <n v="407"/>
    <x v="17"/>
    <n v="1"/>
    <n v="22"/>
    <b v="0"/>
    <n v="2"/>
    <n v="2"/>
    <n v="0.22"/>
    <x v="1"/>
    <x v="0"/>
    <x v="0"/>
    <s v="No"/>
  </r>
  <r>
    <n v="408"/>
    <x v="17"/>
    <n v="1"/>
    <n v="23"/>
    <b v="0"/>
    <n v="2"/>
    <n v="2"/>
    <n v="0.22"/>
    <x v="1"/>
    <x v="0"/>
    <x v="0"/>
    <s v="No"/>
  </r>
  <r>
    <n v="409"/>
    <x v="18"/>
    <n v="1"/>
    <n v="0"/>
    <b v="0"/>
    <n v="3"/>
    <n v="2"/>
    <n v="0.22"/>
    <x v="1"/>
    <x v="0"/>
    <x v="0"/>
    <s v="No"/>
  </r>
  <r>
    <n v="410"/>
    <x v="18"/>
    <n v="1"/>
    <n v="1"/>
    <b v="0"/>
    <n v="3"/>
    <n v="3"/>
    <n v="0.22"/>
    <x v="2"/>
    <x v="0"/>
    <x v="0"/>
    <s v="No"/>
  </r>
  <r>
    <n v="411"/>
    <x v="18"/>
    <n v="1"/>
    <n v="2"/>
    <b v="0"/>
    <n v="3"/>
    <n v="3"/>
    <n v="0.22"/>
    <x v="2"/>
    <x v="0"/>
    <x v="0"/>
    <s v="No"/>
  </r>
  <r>
    <n v="412"/>
    <x v="18"/>
    <n v="1"/>
    <n v="4"/>
    <b v="0"/>
    <n v="3"/>
    <n v="3"/>
    <n v="0.22"/>
    <x v="2"/>
    <x v="0"/>
    <x v="0"/>
    <s v="No"/>
  </r>
  <r>
    <n v="413"/>
    <x v="18"/>
    <n v="1"/>
    <n v="5"/>
    <b v="0"/>
    <n v="3"/>
    <n v="2"/>
    <n v="0.22"/>
    <x v="1"/>
    <x v="0"/>
    <x v="0"/>
    <s v="No"/>
  </r>
  <r>
    <n v="414"/>
    <x v="18"/>
    <n v="1"/>
    <n v="6"/>
    <b v="0"/>
    <n v="3"/>
    <n v="2"/>
    <n v="0.22"/>
    <x v="1"/>
    <x v="1"/>
    <x v="0"/>
    <s v="No"/>
  </r>
  <r>
    <n v="415"/>
    <x v="18"/>
    <n v="1"/>
    <n v="7"/>
    <b v="0"/>
    <n v="3"/>
    <n v="2"/>
    <n v="0.24"/>
    <x v="1"/>
    <x v="1"/>
    <x v="0"/>
    <s v="No"/>
  </r>
  <r>
    <n v="416"/>
    <x v="18"/>
    <n v="1"/>
    <n v="8"/>
    <b v="0"/>
    <n v="3"/>
    <n v="2"/>
    <n v="0.24"/>
    <x v="1"/>
    <x v="1"/>
    <x v="0"/>
    <s v="No"/>
  </r>
  <r>
    <n v="417"/>
    <x v="18"/>
    <n v="1"/>
    <n v="9"/>
    <b v="0"/>
    <n v="3"/>
    <n v="2"/>
    <n v="0.24"/>
    <x v="1"/>
    <x v="1"/>
    <x v="0"/>
    <s v="No"/>
  </r>
  <r>
    <n v="418"/>
    <x v="18"/>
    <n v="1"/>
    <n v="10"/>
    <b v="0"/>
    <n v="3"/>
    <n v="2"/>
    <n v="0.26"/>
    <x v="1"/>
    <x v="1"/>
    <x v="1"/>
    <s v="No"/>
  </r>
  <r>
    <n v="419"/>
    <x v="18"/>
    <n v="1"/>
    <n v="11"/>
    <b v="0"/>
    <n v="3"/>
    <n v="2"/>
    <n v="0.28000000000000003"/>
    <x v="1"/>
    <x v="1"/>
    <x v="1"/>
    <s v="No"/>
  </r>
  <r>
    <n v="420"/>
    <x v="18"/>
    <n v="1"/>
    <n v="12"/>
    <b v="0"/>
    <n v="3"/>
    <n v="2"/>
    <n v="0.3"/>
    <x v="1"/>
    <x v="2"/>
    <x v="1"/>
    <s v="No"/>
  </r>
  <r>
    <n v="421"/>
    <x v="18"/>
    <n v="1"/>
    <n v="13"/>
    <b v="0"/>
    <n v="3"/>
    <n v="1"/>
    <n v="0.4"/>
    <x v="0"/>
    <x v="2"/>
    <x v="2"/>
    <s v="No"/>
  </r>
  <r>
    <n v="422"/>
    <x v="18"/>
    <n v="1"/>
    <n v="14"/>
    <b v="0"/>
    <n v="3"/>
    <n v="1"/>
    <n v="0.4"/>
    <x v="0"/>
    <x v="2"/>
    <x v="2"/>
    <s v="No"/>
  </r>
  <r>
    <n v="423"/>
    <x v="18"/>
    <n v="1"/>
    <n v="15"/>
    <b v="0"/>
    <n v="3"/>
    <n v="1"/>
    <n v="0.4"/>
    <x v="0"/>
    <x v="2"/>
    <x v="2"/>
    <s v="No"/>
  </r>
  <r>
    <n v="424"/>
    <x v="18"/>
    <n v="1"/>
    <n v="16"/>
    <b v="0"/>
    <n v="3"/>
    <n v="1"/>
    <n v="0.38"/>
    <x v="0"/>
    <x v="2"/>
    <x v="2"/>
    <s v="No"/>
  </r>
  <r>
    <n v="425"/>
    <x v="18"/>
    <n v="1"/>
    <n v="17"/>
    <b v="0"/>
    <n v="3"/>
    <n v="1"/>
    <n v="0.36"/>
    <x v="0"/>
    <x v="3"/>
    <x v="2"/>
    <s v="No"/>
  </r>
  <r>
    <n v="426"/>
    <x v="18"/>
    <n v="1"/>
    <n v="18"/>
    <b v="0"/>
    <n v="3"/>
    <n v="1"/>
    <n v="0.34"/>
    <x v="0"/>
    <x v="3"/>
    <x v="1"/>
    <s v="No"/>
  </r>
  <r>
    <n v="427"/>
    <x v="18"/>
    <n v="1"/>
    <n v="19"/>
    <b v="0"/>
    <n v="3"/>
    <n v="1"/>
    <n v="0.32"/>
    <x v="0"/>
    <x v="3"/>
    <x v="1"/>
    <s v="No"/>
  </r>
  <r>
    <n v="428"/>
    <x v="18"/>
    <n v="1"/>
    <n v="20"/>
    <b v="0"/>
    <n v="3"/>
    <n v="1"/>
    <n v="0.32"/>
    <x v="0"/>
    <x v="3"/>
    <x v="1"/>
    <s v="No"/>
  </r>
  <r>
    <n v="429"/>
    <x v="18"/>
    <n v="1"/>
    <n v="21"/>
    <b v="0"/>
    <n v="3"/>
    <n v="1"/>
    <n v="0.32"/>
    <x v="0"/>
    <x v="0"/>
    <x v="1"/>
    <s v="No"/>
  </r>
  <r>
    <n v="430"/>
    <x v="18"/>
    <n v="1"/>
    <n v="22"/>
    <b v="0"/>
    <n v="3"/>
    <n v="1"/>
    <n v="0.3"/>
    <x v="0"/>
    <x v="0"/>
    <x v="1"/>
    <s v="No"/>
  </r>
  <r>
    <n v="431"/>
    <x v="18"/>
    <n v="1"/>
    <n v="23"/>
    <b v="0"/>
    <n v="3"/>
    <n v="1"/>
    <n v="0.3"/>
    <x v="0"/>
    <x v="0"/>
    <x v="1"/>
    <s v="No"/>
  </r>
  <r>
    <n v="432"/>
    <x v="19"/>
    <n v="1"/>
    <n v="0"/>
    <b v="0"/>
    <n v="4"/>
    <n v="1"/>
    <n v="0.26"/>
    <x v="0"/>
    <x v="0"/>
    <x v="1"/>
    <s v="No"/>
  </r>
  <r>
    <n v="433"/>
    <x v="19"/>
    <n v="1"/>
    <n v="1"/>
    <b v="0"/>
    <n v="4"/>
    <n v="1"/>
    <n v="0.26"/>
    <x v="0"/>
    <x v="0"/>
    <x v="1"/>
    <s v="No"/>
  </r>
  <r>
    <n v="434"/>
    <x v="19"/>
    <n v="1"/>
    <n v="2"/>
    <b v="0"/>
    <n v="4"/>
    <n v="1"/>
    <n v="0.26"/>
    <x v="0"/>
    <x v="0"/>
    <x v="1"/>
    <s v="No"/>
  </r>
  <r>
    <n v="435"/>
    <x v="19"/>
    <n v="1"/>
    <n v="3"/>
    <b v="0"/>
    <n v="4"/>
    <n v="1"/>
    <n v="0.26"/>
    <x v="0"/>
    <x v="0"/>
    <x v="1"/>
    <s v="No"/>
  </r>
  <r>
    <n v="436"/>
    <x v="19"/>
    <n v="1"/>
    <n v="4"/>
    <b v="0"/>
    <n v="4"/>
    <n v="1"/>
    <n v="0.26"/>
    <x v="0"/>
    <x v="0"/>
    <x v="1"/>
    <s v="No"/>
  </r>
  <r>
    <n v="437"/>
    <x v="19"/>
    <n v="1"/>
    <n v="5"/>
    <b v="0"/>
    <n v="4"/>
    <n v="1"/>
    <n v="0.24"/>
    <x v="0"/>
    <x v="0"/>
    <x v="0"/>
    <s v="No"/>
  </r>
  <r>
    <n v="438"/>
    <x v="19"/>
    <n v="1"/>
    <n v="6"/>
    <b v="0"/>
    <n v="4"/>
    <n v="1"/>
    <n v="0.22"/>
    <x v="0"/>
    <x v="1"/>
    <x v="0"/>
    <s v="No"/>
  </r>
  <r>
    <n v="439"/>
    <x v="19"/>
    <n v="1"/>
    <n v="7"/>
    <b v="0"/>
    <n v="4"/>
    <n v="1"/>
    <n v="0.22"/>
    <x v="0"/>
    <x v="1"/>
    <x v="0"/>
    <s v="No"/>
  </r>
  <r>
    <n v="440"/>
    <x v="19"/>
    <n v="1"/>
    <n v="8"/>
    <b v="0"/>
    <n v="4"/>
    <n v="1"/>
    <n v="0.22"/>
    <x v="0"/>
    <x v="1"/>
    <x v="0"/>
    <s v="No"/>
  </r>
  <r>
    <n v="441"/>
    <x v="19"/>
    <n v="1"/>
    <n v="9"/>
    <b v="0"/>
    <n v="4"/>
    <n v="2"/>
    <n v="0.24"/>
    <x v="1"/>
    <x v="1"/>
    <x v="0"/>
    <s v="No"/>
  </r>
  <r>
    <n v="442"/>
    <x v="19"/>
    <n v="1"/>
    <n v="10"/>
    <b v="0"/>
    <n v="4"/>
    <n v="1"/>
    <n v="0.26"/>
    <x v="0"/>
    <x v="1"/>
    <x v="1"/>
    <s v="No"/>
  </r>
  <r>
    <n v="443"/>
    <x v="19"/>
    <n v="1"/>
    <n v="11"/>
    <b v="0"/>
    <n v="4"/>
    <n v="2"/>
    <n v="0.28000000000000003"/>
    <x v="1"/>
    <x v="1"/>
    <x v="1"/>
    <s v="No"/>
  </r>
  <r>
    <n v="444"/>
    <x v="19"/>
    <n v="1"/>
    <n v="12"/>
    <b v="0"/>
    <n v="4"/>
    <n v="2"/>
    <n v="0.3"/>
    <x v="1"/>
    <x v="2"/>
    <x v="1"/>
    <s v="No"/>
  </r>
  <r>
    <n v="445"/>
    <x v="19"/>
    <n v="1"/>
    <n v="13"/>
    <b v="0"/>
    <n v="4"/>
    <n v="2"/>
    <n v="0.28000000000000003"/>
    <x v="1"/>
    <x v="2"/>
    <x v="1"/>
    <s v="No"/>
  </r>
  <r>
    <n v="446"/>
    <x v="19"/>
    <n v="1"/>
    <n v="14"/>
    <b v="0"/>
    <n v="4"/>
    <n v="2"/>
    <n v="0.3"/>
    <x v="1"/>
    <x v="2"/>
    <x v="1"/>
    <s v="No"/>
  </r>
  <r>
    <n v="447"/>
    <x v="19"/>
    <n v="1"/>
    <n v="15"/>
    <b v="0"/>
    <n v="4"/>
    <n v="2"/>
    <n v="0.32"/>
    <x v="1"/>
    <x v="2"/>
    <x v="1"/>
    <s v="No"/>
  </r>
  <r>
    <n v="448"/>
    <x v="19"/>
    <n v="1"/>
    <n v="16"/>
    <b v="0"/>
    <n v="4"/>
    <n v="2"/>
    <n v="0.3"/>
    <x v="1"/>
    <x v="2"/>
    <x v="1"/>
    <s v="No"/>
  </r>
  <r>
    <n v="449"/>
    <x v="19"/>
    <n v="1"/>
    <n v="17"/>
    <b v="0"/>
    <n v="4"/>
    <n v="2"/>
    <n v="0.3"/>
    <x v="1"/>
    <x v="3"/>
    <x v="1"/>
    <s v="No"/>
  </r>
  <r>
    <n v="450"/>
    <x v="19"/>
    <n v="1"/>
    <n v="18"/>
    <b v="0"/>
    <n v="4"/>
    <n v="2"/>
    <n v="0.26"/>
    <x v="1"/>
    <x v="3"/>
    <x v="1"/>
    <s v="No"/>
  </r>
  <r>
    <n v="451"/>
    <x v="19"/>
    <n v="1"/>
    <n v="19"/>
    <b v="0"/>
    <n v="4"/>
    <n v="1"/>
    <n v="0.26"/>
    <x v="0"/>
    <x v="3"/>
    <x v="1"/>
    <s v="No"/>
  </r>
  <r>
    <n v="452"/>
    <x v="19"/>
    <n v="1"/>
    <n v="20"/>
    <b v="0"/>
    <n v="4"/>
    <n v="2"/>
    <n v="0.26"/>
    <x v="1"/>
    <x v="3"/>
    <x v="1"/>
    <s v="No"/>
  </r>
  <r>
    <n v="453"/>
    <x v="19"/>
    <n v="1"/>
    <n v="21"/>
    <b v="0"/>
    <n v="4"/>
    <n v="2"/>
    <n v="0.24"/>
    <x v="1"/>
    <x v="0"/>
    <x v="0"/>
    <s v="No"/>
  </r>
  <r>
    <n v="454"/>
    <x v="19"/>
    <n v="1"/>
    <n v="22"/>
    <b v="0"/>
    <n v="4"/>
    <n v="2"/>
    <n v="0.24"/>
    <x v="1"/>
    <x v="0"/>
    <x v="0"/>
    <s v="No"/>
  </r>
  <r>
    <n v="455"/>
    <x v="19"/>
    <n v="1"/>
    <n v="23"/>
    <b v="0"/>
    <n v="4"/>
    <n v="2"/>
    <n v="0.24"/>
    <x v="1"/>
    <x v="0"/>
    <x v="0"/>
    <s v="No"/>
  </r>
  <r>
    <n v="456"/>
    <x v="20"/>
    <n v="1"/>
    <n v="0"/>
    <b v="0"/>
    <n v="5"/>
    <n v="2"/>
    <n v="0.24"/>
    <x v="1"/>
    <x v="0"/>
    <x v="0"/>
    <s v="No"/>
  </r>
  <r>
    <n v="457"/>
    <x v="20"/>
    <n v="1"/>
    <n v="1"/>
    <b v="0"/>
    <n v="5"/>
    <n v="2"/>
    <n v="0.24"/>
    <x v="1"/>
    <x v="0"/>
    <x v="0"/>
    <s v="No"/>
  </r>
  <r>
    <n v="458"/>
    <x v="20"/>
    <n v="1"/>
    <n v="2"/>
    <b v="0"/>
    <n v="5"/>
    <n v="3"/>
    <n v="0.24"/>
    <x v="2"/>
    <x v="0"/>
    <x v="0"/>
    <s v="No"/>
  </r>
  <r>
    <n v="459"/>
    <x v="20"/>
    <n v="1"/>
    <n v="3"/>
    <b v="0"/>
    <n v="5"/>
    <n v="3"/>
    <n v="0.22"/>
    <x v="2"/>
    <x v="0"/>
    <x v="0"/>
    <s v="No"/>
  </r>
  <r>
    <n v="460"/>
    <x v="20"/>
    <n v="1"/>
    <n v="4"/>
    <b v="0"/>
    <n v="5"/>
    <n v="2"/>
    <n v="0.22"/>
    <x v="1"/>
    <x v="0"/>
    <x v="0"/>
    <s v="No"/>
  </r>
  <r>
    <n v="461"/>
    <x v="20"/>
    <n v="1"/>
    <n v="5"/>
    <b v="0"/>
    <n v="5"/>
    <n v="1"/>
    <n v="0.24"/>
    <x v="0"/>
    <x v="0"/>
    <x v="0"/>
    <s v="No"/>
  </r>
  <r>
    <n v="462"/>
    <x v="20"/>
    <n v="1"/>
    <n v="6"/>
    <b v="0"/>
    <n v="5"/>
    <n v="1"/>
    <n v="0.22"/>
    <x v="0"/>
    <x v="1"/>
    <x v="0"/>
    <s v="No"/>
  </r>
  <r>
    <n v="463"/>
    <x v="20"/>
    <n v="1"/>
    <n v="7"/>
    <b v="0"/>
    <n v="5"/>
    <n v="1"/>
    <n v="0.2"/>
    <x v="0"/>
    <x v="1"/>
    <x v="0"/>
    <s v="No"/>
  </r>
  <r>
    <n v="464"/>
    <x v="20"/>
    <n v="1"/>
    <n v="8"/>
    <b v="0"/>
    <n v="5"/>
    <n v="1"/>
    <n v="0.2"/>
    <x v="0"/>
    <x v="1"/>
    <x v="0"/>
    <s v="No"/>
  </r>
  <r>
    <n v="465"/>
    <x v="20"/>
    <n v="1"/>
    <n v="9"/>
    <b v="0"/>
    <n v="5"/>
    <n v="1"/>
    <n v="0.2"/>
    <x v="0"/>
    <x v="1"/>
    <x v="0"/>
    <s v="No"/>
  </r>
  <r>
    <n v="466"/>
    <x v="20"/>
    <n v="1"/>
    <n v="10"/>
    <b v="0"/>
    <n v="5"/>
    <n v="1"/>
    <n v="0.2"/>
    <x v="0"/>
    <x v="1"/>
    <x v="0"/>
    <s v="No"/>
  </r>
  <r>
    <n v="467"/>
    <x v="20"/>
    <n v="1"/>
    <n v="11"/>
    <b v="0"/>
    <n v="5"/>
    <n v="1"/>
    <n v="0.22"/>
    <x v="0"/>
    <x v="1"/>
    <x v="0"/>
    <s v="No"/>
  </r>
  <r>
    <n v="468"/>
    <x v="20"/>
    <n v="1"/>
    <n v="12"/>
    <b v="0"/>
    <n v="5"/>
    <n v="1"/>
    <n v="0.22"/>
    <x v="0"/>
    <x v="2"/>
    <x v="0"/>
    <s v="No"/>
  </r>
  <r>
    <n v="469"/>
    <x v="20"/>
    <n v="1"/>
    <n v="13"/>
    <b v="0"/>
    <n v="5"/>
    <n v="1"/>
    <n v="0.2"/>
    <x v="0"/>
    <x v="2"/>
    <x v="0"/>
    <s v="No"/>
  </r>
  <r>
    <n v="470"/>
    <x v="20"/>
    <n v="1"/>
    <n v="14"/>
    <b v="0"/>
    <n v="5"/>
    <n v="1"/>
    <n v="0.2"/>
    <x v="0"/>
    <x v="2"/>
    <x v="0"/>
    <s v="No"/>
  </r>
  <r>
    <n v="471"/>
    <x v="20"/>
    <n v="1"/>
    <n v="15"/>
    <b v="0"/>
    <n v="5"/>
    <n v="1"/>
    <n v="0.16"/>
    <x v="0"/>
    <x v="2"/>
    <x v="0"/>
    <s v="No"/>
  </r>
  <r>
    <n v="472"/>
    <x v="20"/>
    <n v="1"/>
    <n v="16"/>
    <b v="0"/>
    <n v="5"/>
    <n v="1"/>
    <n v="0.16"/>
    <x v="0"/>
    <x v="2"/>
    <x v="0"/>
    <s v="No"/>
  </r>
  <r>
    <n v="473"/>
    <x v="20"/>
    <n v="1"/>
    <n v="17"/>
    <b v="0"/>
    <n v="5"/>
    <n v="1"/>
    <n v="0.14000000000000001"/>
    <x v="0"/>
    <x v="3"/>
    <x v="4"/>
    <s v="No"/>
  </r>
  <r>
    <n v="474"/>
    <x v="20"/>
    <n v="1"/>
    <n v="18"/>
    <b v="0"/>
    <n v="5"/>
    <n v="1"/>
    <n v="0.12"/>
    <x v="0"/>
    <x v="3"/>
    <x v="4"/>
    <s v="No"/>
  </r>
  <r>
    <n v="475"/>
    <x v="20"/>
    <n v="1"/>
    <n v="19"/>
    <b v="0"/>
    <n v="5"/>
    <n v="1"/>
    <n v="0.12"/>
    <x v="0"/>
    <x v="3"/>
    <x v="4"/>
    <s v="No"/>
  </r>
  <r>
    <n v="476"/>
    <x v="20"/>
    <n v="1"/>
    <n v="20"/>
    <b v="0"/>
    <n v="5"/>
    <n v="1"/>
    <n v="0.1"/>
    <x v="0"/>
    <x v="3"/>
    <x v="4"/>
    <s v="No"/>
  </r>
  <r>
    <n v="477"/>
    <x v="20"/>
    <n v="1"/>
    <n v="21"/>
    <b v="0"/>
    <n v="5"/>
    <n v="1"/>
    <n v="0.08"/>
    <x v="0"/>
    <x v="0"/>
    <x v="4"/>
    <s v="No"/>
  </r>
  <r>
    <n v="478"/>
    <x v="20"/>
    <n v="1"/>
    <n v="22"/>
    <b v="0"/>
    <n v="5"/>
    <n v="1"/>
    <n v="0.06"/>
    <x v="0"/>
    <x v="0"/>
    <x v="4"/>
    <s v="No"/>
  </r>
  <r>
    <n v="479"/>
    <x v="20"/>
    <n v="1"/>
    <n v="23"/>
    <b v="0"/>
    <n v="5"/>
    <n v="1"/>
    <n v="0.06"/>
    <x v="0"/>
    <x v="0"/>
    <x v="4"/>
    <s v="No"/>
  </r>
  <r>
    <n v="480"/>
    <x v="21"/>
    <n v="1"/>
    <n v="0"/>
    <b v="0"/>
    <n v="6"/>
    <n v="1"/>
    <n v="0.04"/>
    <x v="0"/>
    <x v="0"/>
    <x v="4"/>
    <s v="Yes"/>
  </r>
  <r>
    <n v="481"/>
    <x v="21"/>
    <n v="1"/>
    <n v="1"/>
    <b v="0"/>
    <n v="6"/>
    <n v="2"/>
    <n v="0.04"/>
    <x v="1"/>
    <x v="0"/>
    <x v="4"/>
    <s v="Yes"/>
  </r>
  <r>
    <n v="482"/>
    <x v="21"/>
    <n v="1"/>
    <n v="2"/>
    <b v="0"/>
    <n v="6"/>
    <n v="2"/>
    <n v="0.04"/>
    <x v="1"/>
    <x v="0"/>
    <x v="4"/>
    <s v="Yes"/>
  </r>
  <r>
    <n v="483"/>
    <x v="21"/>
    <n v="1"/>
    <n v="3"/>
    <b v="0"/>
    <n v="6"/>
    <n v="2"/>
    <n v="0.04"/>
    <x v="1"/>
    <x v="0"/>
    <x v="4"/>
    <s v="Yes"/>
  </r>
  <r>
    <n v="484"/>
    <x v="21"/>
    <n v="1"/>
    <n v="4"/>
    <b v="0"/>
    <n v="6"/>
    <n v="2"/>
    <n v="0.02"/>
    <x v="1"/>
    <x v="0"/>
    <x v="4"/>
    <s v="Yes"/>
  </r>
  <r>
    <n v="485"/>
    <x v="21"/>
    <n v="1"/>
    <n v="6"/>
    <b v="0"/>
    <n v="6"/>
    <n v="2"/>
    <n v="0.02"/>
    <x v="1"/>
    <x v="1"/>
    <x v="4"/>
    <s v="Yes"/>
  </r>
  <r>
    <n v="486"/>
    <x v="21"/>
    <n v="1"/>
    <n v="7"/>
    <b v="0"/>
    <n v="6"/>
    <n v="1"/>
    <n v="0.02"/>
    <x v="0"/>
    <x v="1"/>
    <x v="4"/>
    <s v="Yes"/>
  </r>
  <r>
    <n v="487"/>
    <x v="21"/>
    <n v="1"/>
    <n v="8"/>
    <b v="0"/>
    <n v="6"/>
    <n v="1"/>
    <n v="0.02"/>
    <x v="0"/>
    <x v="1"/>
    <x v="4"/>
    <s v="Yes"/>
  </r>
  <r>
    <n v="488"/>
    <x v="21"/>
    <n v="1"/>
    <n v="9"/>
    <b v="0"/>
    <n v="6"/>
    <n v="1"/>
    <n v="0.04"/>
    <x v="0"/>
    <x v="1"/>
    <x v="4"/>
    <s v="Yes"/>
  </r>
  <r>
    <n v="489"/>
    <x v="21"/>
    <n v="1"/>
    <n v="10"/>
    <b v="0"/>
    <n v="6"/>
    <n v="2"/>
    <n v="0.04"/>
    <x v="1"/>
    <x v="1"/>
    <x v="4"/>
    <s v="Yes"/>
  </r>
  <r>
    <n v="490"/>
    <x v="21"/>
    <n v="1"/>
    <n v="11"/>
    <b v="0"/>
    <n v="6"/>
    <n v="2"/>
    <n v="0.06"/>
    <x v="1"/>
    <x v="1"/>
    <x v="4"/>
    <s v="Yes"/>
  </r>
  <r>
    <n v="491"/>
    <x v="21"/>
    <n v="1"/>
    <n v="12"/>
    <b v="0"/>
    <n v="6"/>
    <n v="2"/>
    <n v="0.06"/>
    <x v="1"/>
    <x v="2"/>
    <x v="4"/>
    <s v="Yes"/>
  </r>
  <r>
    <n v="492"/>
    <x v="21"/>
    <n v="1"/>
    <n v="13"/>
    <b v="0"/>
    <n v="6"/>
    <n v="1"/>
    <n v="0.08"/>
    <x v="0"/>
    <x v="2"/>
    <x v="4"/>
    <s v="Yes"/>
  </r>
  <r>
    <n v="493"/>
    <x v="21"/>
    <n v="1"/>
    <n v="14"/>
    <b v="0"/>
    <n v="6"/>
    <n v="1"/>
    <n v="0.1"/>
    <x v="0"/>
    <x v="2"/>
    <x v="4"/>
    <s v="Yes"/>
  </r>
  <r>
    <n v="494"/>
    <x v="21"/>
    <n v="1"/>
    <n v="15"/>
    <b v="0"/>
    <n v="6"/>
    <n v="1"/>
    <n v="0.12"/>
    <x v="0"/>
    <x v="2"/>
    <x v="4"/>
    <s v="Yes"/>
  </r>
  <r>
    <n v="495"/>
    <x v="21"/>
    <n v="1"/>
    <n v="16"/>
    <b v="0"/>
    <n v="6"/>
    <n v="1"/>
    <n v="0.12"/>
    <x v="0"/>
    <x v="2"/>
    <x v="4"/>
    <s v="Yes"/>
  </r>
  <r>
    <n v="496"/>
    <x v="21"/>
    <n v="1"/>
    <n v="17"/>
    <b v="0"/>
    <n v="6"/>
    <n v="1"/>
    <n v="0.12"/>
    <x v="0"/>
    <x v="3"/>
    <x v="4"/>
    <s v="Yes"/>
  </r>
  <r>
    <n v="497"/>
    <x v="21"/>
    <n v="1"/>
    <n v="18"/>
    <b v="0"/>
    <n v="6"/>
    <n v="1"/>
    <n v="0.08"/>
    <x v="0"/>
    <x v="3"/>
    <x v="4"/>
    <s v="Yes"/>
  </r>
  <r>
    <n v="498"/>
    <x v="21"/>
    <n v="1"/>
    <n v="19"/>
    <b v="0"/>
    <n v="6"/>
    <n v="1"/>
    <n v="0.08"/>
    <x v="0"/>
    <x v="3"/>
    <x v="4"/>
    <s v="Yes"/>
  </r>
  <r>
    <n v="499"/>
    <x v="21"/>
    <n v="1"/>
    <n v="20"/>
    <b v="0"/>
    <n v="6"/>
    <n v="1"/>
    <n v="0.06"/>
    <x v="0"/>
    <x v="3"/>
    <x v="4"/>
    <s v="Yes"/>
  </r>
  <r>
    <n v="500"/>
    <x v="21"/>
    <n v="1"/>
    <n v="21"/>
    <b v="0"/>
    <n v="6"/>
    <n v="1"/>
    <n v="0.06"/>
    <x v="0"/>
    <x v="0"/>
    <x v="4"/>
    <s v="Yes"/>
  </r>
  <r>
    <n v="501"/>
    <x v="21"/>
    <n v="1"/>
    <n v="22"/>
    <b v="0"/>
    <n v="6"/>
    <n v="1"/>
    <n v="0.06"/>
    <x v="0"/>
    <x v="0"/>
    <x v="4"/>
    <s v="Yes"/>
  </r>
  <r>
    <n v="502"/>
    <x v="21"/>
    <n v="1"/>
    <n v="23"/>
    <b v="0"/>
    <n v="6"/>
    <n v="1"/>
    <n v="0.04"/>
    <x v="0"/>
    <x v="0"/>
    <x v="4"/>
    <s v="Yes"/>
  </r>
  <r>
    <n v="503"/>
    <x v="22"/>
    <n v="1"/>
    <n v="0"/>
    <b v="0"/>
    <n v="0"/>
    <n v="1"/>
    <n v="0.04"/>
    <x v="0"/>
    <x v="0"/>
    <x v="4"/>
    <s v="Yes"/>
  </r>
  <r>
    <n v="504"/>
    <x v="22"/>
    <n v="1"/>
    <n v="1"/>
    <b v="0"/>
    <n v="0"/>
    <n v="1"/>
    <n v="0.04"/>
    <x v="0"/>
    <x v="0"/>
    <x v="4"/>
    <s v="Yes"/>
  </r>
  <r>
    <n v="505"/>
    <x v="22"/>
    <n v="1"/>
    <n v="2"/>
    <b v="0"/>
    <n v="0"/>
    <n v="1"/>
    <n v="0.02"/>
    <x v="0"/>
    <x v="0"/>
    <x v="4"/>
    <s v="Yes"/>
  </r>
  <r>
    <n v="506"/>
    <x v="22"/>
    <n v="1"/>
    <n v="3"/>
    <b v="0"/>
    <n v="0"/>
    <n v="1"/>
    <n v="0.02"/>
    <x v="0"/>
    <x v="0"/>
    <x v="4"/>
    <s v="Yes"/>
  </r>
  <r>
    <n v="507"/>
    <x v="22"/>
    <n v="1"/>
    <n v="5"/>
    <b v="0"/>
    <n v="0"/>
    <n v="2"/>
    <n v="0.04"/>
    <x v="1"/>
    <x v="0"/>
    <x v="4"/>
    <s v="Yes"/>
  </r>
  <r>
    <n v="508"/>
    <x v="22"/>
    <n v="1"/>
    <n v="6"/>
    <b v="0"/>
    <n v="0"/>
    <n v="2"/>
    <n v="0.04"/>
    <x v="1"/>
    <x v="1"/>
    <x v="4"/>
    <s v="Yes"/>
  </r>
  <r>
    <n v="509"/>
    <x v="22"/>
    <n v="1"/>
    <n v="7"/>
    <b v="0"/>
    <n v="0"/>
    <n v="1"/>
    <n v="0.08"/>
    <x v="0"/>
    <x v="1"/>
    <x v="4"/>
    <s v="Yes"/>
  </r>
  <r>
    <n v="510"/>
    <x v="22"/>
    <n v="1"/>
    <n v="8"/>
    <b v="0"/>
    <n v="0"/>
    <n v="1"/>
    <n v="0.06"/>
    <x v="0"/>
    <x v="1"/>
    <x v="4"/>
    <s v="Yes"/>
  </r>
  <r>
    <n v="511"/>
    <x v="22"/>
    <n v="1"/>
    <n v="9"/>
    <b v="0"/>
    <n v="0"/>
    <n v="1"/>
    <n v="0.1"/>
    <x v="0"/>
    <x v="1"/>
    <x v="4"/>
    <s v="Yes"/>
  </r>
  <r>
    <n v="512"/>
    <x v="22"/>
    <n v="1"/>
    <n v="10"/>
    <b v="0"/>
    <n v="0"/>
    <n v="1"/>
    <n v="0.14000000000000001"/>
    <x v="0"/>
    <x v="1"/>
    <x v="4"/>
    <s v="Yes"/>
  </r>
  <r>
    <n v="513"/>
    <x v="22"/>
    <n v="1"/>
    <n v="11"/>
    <b v="0"/>
    <n v="0"/>
    <n v="1"/>
    <n v="0.14000000000000001"/>
    <x v="0"/>
    <x v="1"/>
    <x v="4"/>
    <s v="Yes"/>
  </r>
  <r>
    <n v="514"/>
    <x v="22"/>
    <n v="1"/>
    <n v="12"/>
    <b v="0"/>
    <n v="0"/>
    <n v="1"/>
    <n v="0.16"/>
    <x v="0"/>
    <x v="2"/>
    <x v="0"/>
    <s v="Yes"/>
  </r>
  <r>
    <n v="515"/>
    <x v="22"/>
    <n v="1"/>
    <n v="13"/>
    <b v="0"/>
    <n v="0"/>
    <n v="1"/>
    <n v="0.14000000000000001"/>
    <x v="0"/>
    <x v="2"/>
    <x v="4"/>
    <s v="Yes"/>
  </r>
  <r>
    <n v="516"/>
    <x v="22"/>
    <n v="1"/>
    <n v="14"/>
    <b v="0"/>
    <n v="0"/>
    <n v="1"/>
    <n v="0.16"/>
    <x v="0"/>
    <x v="2"/>
    <x v="0"/>
    <s v="Yes"/>
  </r>
  <r>
    <n v="517"/>
    <x v="22"/>
    <n v="1"/>
    <n v="15"/>
    <b v="0"/>
    <n v="0"/>
    <n v="1"/>
    <n v="0.16"/>
    <x v="0"/>
    <x v="2"/>
    <x v="0"/>
    <s v="Yes"/>
  </r>
  <r>
    <n v="518"/>
    <x v="22"/>
    <n v="1"/>
    <n v="16"/>
    <b v="0"/>
    <n v="0"/>
    <n v="1"/>
    <n v="0.16"/>
    <x v="0"/>
    <x v="2"/>
    <x v="0"/>
    <s v="Yes"/>
  </r>
  <r>
    <n v="519"/>
    <x v="22"/>
    <n v="1"/>
    <n v="17"/>
    <b v="0"/>
    <n v="0"/>
    <n v="1"/>
    <n v="0.14000000000000001"/>
    <x v="0"/>
    <x v="3"/>
    <x v="4"/>
    <s v="Yes"/>
  </r>
  <r>
    <n v="520"/>
    <x v="22"/>
    <n v="1"/>
    <n v="18"/>
    <b v="0"/>
    <n v="0"/>
    <n v="1"/>
    <n v="0.12"/>
    <x v="0"/>
    <x v="3"/>
    <x v="4"/>
    <s v="Yes"/>
  </r>
  <r>
    <n v="521"/>
    <x v="22"/>
    <n v="1"/>
    <n v="19"/>
    <b v="0"/>
    <n v="0"/>
    <n v="1"/>
    <n v="0.12"/>
    <x v="0"/>
    <x v="3"/>
    <x v="4"/>
    <s v="Yes"/>
  </r>
  <r>
    <n v="522"/>
    <x v="22"/>
    <n v="1"/>
    <n v="20"/>
    <b v="0"/>
    <n v="0"/>
    <n v="1"/>
    <n v="0.1"/>
    <x v="0"/>
    <x v="3"/>
    <x v="4"/>
    <s v="Yes"/>
  </r>
  <r>
    <n v="523"/>
    <x v="22"/>
    <n v="1"/>
    <n v="21"/>
    <b v="0"/>
    <n v="0"/>
    <n v="1"/>
    <n v="0.1"/>
    <x v="0"/>
    <x v="0"/>
    <x v="4"/>
    <s v="Yes"/>
  </r>
  <r>
    <n v="524"/>
    <x v="22"/>
    <n v="1"/>
    <n v="22"/>
    <b v="0"/>
    <n v="0"/>
    <n v="1"/>
    <n v="0.08"/>
    <x v="0"/>
    <x v="0"/>
    <x v="4"/>
    <s v="Yes"/>
  </r>
  <r>
    <n v="525"/>
    <x v="22"/>
    <n v="1"/>
    <n v="23"/>
    <b v="0"/>
    <n v="0"/>
    <n v="1"/>
    <n v="0.06"/>
    <x v="0"/>
    <x v="0"/>
    <x v="4"/>
    <s v="Yes"/>
  </r>
  <r>
    <n v="526"/>
    <x v="23"/>
    <n v="1"/>
    <n v="0"/>
    <b v="0"/>
    <n v="1"/>
    <n v="1"/>
    <n v="0.06"/>
    <x v="0"/>
    <x v="0"/>
    <x v="4"/>
    <s v="No"/>
  </r>
  <r>
    <n v="527"/>
    <x v="23"/>
    <n v="1"/>
    <n v="1"/>
    <b v="0"/>
    <n v="1"/>
    <n v="1"/>
    <n v="0.04"/>
    <x v="0"/>
    <x v="0"/>
    <x v="4"/>
    <s v="No"/>
  </r>
  <r>
    <n v="528"/>
    <x v="23"/>
    <n v="1"/>
    <n v="3"/>
    <b v="0"/>
    <n v="1"/>
    <n v="1"/>
    <n v="0.04"/>
    <x v="0"/>
    <x v="0"/>
    <x v="4"/>
    <s v="No"/>
  </r>
  <r>
    <n v="529"/>
    <x v="23"/>
    <n v="1"/>
    <n v="4"/>
    <b v="0"/>
    <n v="1"/>
    <n v="1"/>
    <n v="0.02"/>
    <x v="0"/>
    <x v="0"/>
    <x v="4"/>
    <s v="No"/>
  </r>
  <r>
    <n v="530"/>
    <x v="23"/>
    <n v="1"/>
    <n v="5"/>
    <b v="0"/>
    <n v="1"/>
    <n v="1"/>
    <n v="0.02"/>
    <x v="0"/>
    <x v="0"/>
    <x v="4"/>
    <s v="No"/>
  </r>
  <r>
    <n v="531"/>
    <x v="23"/>
    <n v="1"/>
    <n v="6"/>
    <b v="0"/>
    <n v="1"/>
    <n v="1"/>
    <n v="0.02"/>
    <x v="0"/>
    <x v="1"/>
    <x v="4"/>
    <s v="No"/>
  </r>
  <r>
    <n v="532"/>
    <x v="23"/>
    <n v="1"/>
    <n v="7"/>
    <b v="0"/>
    <n v="1"/>
    <n v="1"/>
    <n v="0.02"/>
    <x v="0"/>
    <x v="1"/>
    <x v="4"/>
    <s v="No"/>
  </r>
  <r>
    <n v="533"/>
    <x v="23"/>
    <n v="1"/>
    <n v="8"/>
    <b v="0"/>
    <n v="1"/>
    <n v="1"/>
    <n v="0.04"/>
    <x v="0"/>
    <x v="1"/>
    <x v="4"/>
    <s v="No"/>
  </r>
  <r>
    <n v="534"/>
    <x v="23"/>
    <n v="1"/>
    <n v="9"/>
    <b v="0"/>
    <n v="1"/>
    <n v="1"/>
    <n v="0.06"/>
    <x v="0"/>
    <x v="1"/>
    <x v="4"/>
    <s v="No"/>
  </r>
  <r>
    <n v="535"/>
    <x v="23"/>
    <n v="1"/>
    <n v="10"/>
    <b v="0"/>
    <n v="1"/>
    <n v="1"/>
    <n v="0.1"/>
    <x v="0"/>
    <x v="1"/>
    <x v="4"/>
    <s v="No"/>
  </r>
  <r>
    <n v="536"/>
    <x v="23"/>
    <n v="1"/>
    <n v="11"/>
    <b v="0"/>
    <n v="1"/>
    <n v="1"/>
    <n v="0.1"/>
    <x v="0"/>
    <x v="1"/>
    <x v="4"/>
    <s v="No"/>
  </r>
  <r>
    <n v="537"/>
    <x v="23"/>
    <n v="1"/>
    <n v="12"/>
    <b v="0"/>
    <n v="1"/>
    <n v="2"/>
    <n v="0.12"/>
    <x v="1"/>
    <x v="2"/>
    <x v="4"/>
    <s v="No"/>
  </r>
  <r>
    <n v="538"/>
    <x v="23"/>
    <n v="1"/>
    <n v="13"/>
    <b v="0"/>
    <n v="1"/>
    <n v="2"/>
    <n v="0.14000000000000001"/>
    <x v="1"/>
    <x v="2"/>
    <x v="4"/>
    <s v="No"/>
  </r>
  <r>
    <n v="539"/>
    <x v="23"/>
    <n v="1"/>
    <n v="14"/>
    <b v="0"/>
    <n v="1"/>
    <n v="2"/>
    <n v="0.14000000000000001"/>
    <x v="1"/>
    <x v="2"/>
    <x v="4"/>
    <s v="No"/>
  </r>
  <r>
    <n v="540"/>
    <x v="23"/>
    <n v="1"/>
    <n v="15"/>
    <b v="0"/>
    <n v="1"/>
    <n v="1"/>
    <n v="0.16"/>
    <x v="0"/>
    <x v="2"/>
    <x v="0"/>
    <s v="No"/>
  </r>
  <r>
    <n v="541"/>
    <x v="23"/>
    <n v="1"/>
    <n v="16"/>
    <b v="0"/>
    <n v="1"/>
    <n v="1"/>
    <n v="0.16"/>
    <x v="0"/>
    <x v="2"/>
    <x v="0"/>
    <s v="No"/>
  </r>
  <r>
    <n v="542"/>
    <x v="23"/>
    <n v="1"/>
    <n v="17"/>
    <b v="0"/>
    <n v="1"/>
    <n v="1"/>
    <n v="0.14000000000000001"/>
    <x v="0"/>
    <x v="3"/>
    <x v="4"/>
    <s v="No"/>
  </r>
  <r>
    <n v="543"/>
    <x v="23"/>
    <n v="1"/>
    <n v="18"/>
    <b v="0"/>
    <n v="1"/>
    <n v="1"/>
    <n v="0.14000000000000001"/>
    <x v="0"/>
    <x v="3"/>
    <x v="4"/>
    <s v="No"/>
  </r>
  <r>
    <n v="544"/>
    <x v="23"/>
    <n v="1"/>
    <n v="19"/>
    <b v="0"/>
    <n v="1"/>
    <n v="1"/>
    <n v="0.14000000000000001"/>
    <x v="0"/>
    <x v="3"/>
    <x v="4"/>
    <s v="No"/>
  </r>
  <r>
    <n v="545"/>
    <x v="23"/>
    <n v="1"/>
    <n v="20"/>
    <b v="0"/>
    <n v="1"/>
    <n v="1"/>
    <n v="0.14000000000000001"/>
    <x v="0"/>
    <x v="3"/>
    <x v="4"/>
    <s v="No"/>
  </r>
  <r>
    <n v="546"/>
    <x v="23"/>
    <n v="1"/>
    <n v="21"/>
    <b v="0"/>
    <n v="1"/>
    <n v="1"/>
    <n v="0.14000000000000001"/>
    <x v="0"/>
    <x v="0"/>
    <x v="4"/>
    <s v="No"/>
  </r>
  <r>
    <n v="547"/>
    <x v="23"/>
    <n v="1"/>
    <n v="22"/>
    <b v="0"/>
    <n v="1"/>
    <n v="2"/>
    <n v="0.14000000000000001"/>
    <x v="1"/>
    <x v="0"/>
    <x v="4"/>
    <s v="No"/>
  </r>
  <r>
    <n v="548"/>
    <x v="23"/>
    <n v="1"/>
    <n v="23"/>
    <b v="0"/>
    <n v="1"/>
    <n v="2"/>
    <n v="0.16"/>
    <x v="1"/>
    <x v="0"/>
    <x v="0"/>
    <s v="No"/>
  </r>
  <r>
    <n v="549"/>
    <x v="24"/>
    <n v="1"/>
    <n v="0"/>
    <b v="0"/>
    <n v="2"/>
    <n v="2"/>
    <n v="0.16"/>
    <x v="1"/>
    <x v="0"/>
    <x v="0"/>
    <s v="No"/>
  </r>
  <r>
    <n v="550"/>
    <x v="24"/>
    <n v="1"/>
    <n v="1"/>
    <b v="0"/>
    <n v="2"/>
    <n v="2"/>
    <n v="0.16"/>
    <x v="1"/>
    <x v="0"/>
    <x v="0"/>
    <s v="No"/>
  </r>
  <r>
    <n v="551"/>
    <x v="24"/>
    <n v="1"/>
    <n v="2"/>
    <b v="0"/>
    <n v="2"/>
    <n v="1"/>
    <n v="0.16"/>
    <x v="0"/>
    <x v="0"/>
    <x v="0"/>
    <s v="No"/>
  </r>
  <r>
    <n v="552"/>
    <x v="24"/>
    <n v="1"/>
    <n v="4"/>
    <b v="0"/>
    <n v="2"/>
    <n v="1"/>
    <n v="0.14000000000000001"/>
    <x v="0"/>
    <x v="0"/>
    <x v="4"/>
    <s v="No"/>
  </r>
  <r>
    <n v="553"/>
    <x v="24"/>
    <n v="1"/>
    <n v="5"/>
    <b v="0"/>
    <n v="2"/>
    <n v="1"/>
    <n v="0.14000000000000001"/>
    <x v="0"/>
    <x v="0"/>
    <x v="4"/>
    <s v="No"/>
  </r>
  <r>
    <n v="554"/>
    <x v="24"/>
    <n v="1"/>
    <n v="6"/>
    <b v="0"/>
    <n v="2"/>
    <n v="1"/>
    <n v="0.16"/>
    <x v="0"/>
    <x v="1"/>
    <x v="0"/>
    <s v="No"/>
  </r>
  <r>
    <n v="555"/>
    <x v="24"/>
    <n v="1"/>
    <n v="7"/>
    <b v="0"/>
    <n v="2"/>
    <n v="1"/>
    <n v="0.16"/>
    <x v="0"/>
    <x v="1"/>
    <x v="0"/>
    <s v="No"/>
  </r>
  <r>
    <n v="556"/>
    <x v="24"/>
    <n v="1"/>
    <n v="8"/>
    <b v="0"/>
    <n v="2"/>
    <n v="2"/>
    <n v="0.16"/>
    <x v="1"/>
    <x v="1"/>
    <x v="0"/>
    <s v="No"/>
  </r>
  <r>
    <n v="557"/>
    <x v="24"/>
    <n v="1"/>
    <n v="9"/>
    <b v="0"/>
    <n v="2"/>
    <n v="2"/>
    <n v="0.2"/>
    <x v="1"/>
    <x v="1"/>
    <x v="0"/>
    <s v="No"/>
  </r>
  <r>
    <n v="558"/>
    <x v="24"/>
    <n v="1"/>
    <n v="10"/>
    <b v="0"/>
    <n v="2"/>
    <n v="2"/>
    <n v="0.22"/>
    <x v="1"/>
    <x v="1"/>
    <x v="0"/>
    <s v="No"/>
  </r>
  <r>
    <n v="559"/>
    <x v="24"/>
    <n v="1"/>
    <n v="11"/>
    <b v="0"/>
    <n v="2"/>
    <n v="2"/>
    <n v="0.24"/>
    <x v="1"/>
    <x v="1"/>
    <x v="0"/>
    <s v="No"/>
  </r>
  <r>
    <n v="560"/>
    <x v="24"/>
    <n v="1"/>
    <n v="12"/>
    <b v="0"/>
    <n v="2"/>
    <n v="2"/>
    <n v="0.26"/>
    <x v="1"/>
    <x v="2"/>
    <x v="1"/>
    <s v="No"/>
  </r>
  <r>
    <n v="561"/>
    <x v="24"/>
    <n v="1"/>
    <n v="13"/>
    <b v="0"/>
    <n v="2"/>
    <n v="2"/>
    <n v="0.26"/>
    <x v="1"/>
    <x v="2"/>
    <x v="1"/>
    <s v="No"/>
  </r>
  <r>
    <n v="562"/>
    <x v="24"/>
    <n v="1"/>
    <n v="14"/>
    <b v="0"/>
    <n v="2"/>
    <n v="2"/>
    <n v="0.3"/>
    <x v="1"/>
    <x v="2"/>
    <x v="1"/>
    <s v="No"/>
  </r>
  <r>
    <n v="563"/>
    <x v="24"/>
    <n v="1"/>
    <n v="15"/>
    <b v="0"/>
    <n v="2"/>
    <n v="2"/>
    <n v="0.32"/>
    <x v="1"/>
    <x v="2"/>
    <x v="1"/>
    <s v="No"/>
  </r>
  <r>
    <n v="564"/>
    <x v="24"/>
    <n v="1"/>
    <n v="16"/>
    <b v="0"/>
    <n v="2"/>
    <n v="2"/>
    <n v="0.32"/>
    <x v="1"/>
    <x v="2"/>
    <x v="1"/>
    <s v="No"/>
  </r>
  <r>
    <n v="565"/>
    <x v="24"/>
    <n v="1"/>
    <n v="17"/>
    <b v="0"/>
    <n v="2"/>
    <n v="1"/>
    <n v="0.3"/>
    <x v="0"/>
    <x v="3"/>
    <x v="1"/>
    <s v="No"/>
  </r>
  <r>
    <n v="566"/>
    <x v="24"/>
    <n v="1"/>
    <n v="18"/>
    <b v="0"/>
    <n v="2"/>
    <n v="2"/>
    <n v="0.3"/>
    <x v="1"/>
    <x v="3"/>
    <x v="1"/>
    <s v="No"/>
  </r>
  <r>
    <n v="567"/>
    <x v="24"/>
    <n v="1"/>
    <n v="19"/>
    <b v="0"/>
    <n v="2"/>
    <n v="2"/>
    <n v="0.26"/>
    <x v="1"/>
    <x v="3"/>
    <x v="1"/>
    <s v="No"/>
  </r>
  <r>
    <n v="568"/>
    <x v="24"/>
    <n v="1"/>
    <n v="20"/>
    <b v="0"/>
    <n v="2"/>
    <n v="1"/>
    <n v="0.24"/>
    <x v="0"/>
    <x v="3"/>
    <x v="0"/>
    <s v="No"/>
  </r>
  <r>
    <n v="569"/>
    <x v="24"/>
    <n v="1"/>
    <n v="21"/>
    <b v="0"/>
    <n v="2"/>
    <n v="1"/>
    <n v="0.24"/>
    <x v="0"/>
    <x v="0"/>
    <x v="0"/>
    <s v="No"/>
  </r>
  <r>
    <n v="570"/>
    <x v="24"/>
    <n v="1"/>
    <n v="22"/>
    <b v="0"/>
    <n v="2"/>
    <n v="1"/>
    <n v="0.22"/>
    <x v="0"/>
    <x v="0"/>
    <x v="0"/>
    <s v="No"/>
  </r>
  <r>
    <n v="571"/>
    <x v="24"/>
    <n v="1"/>
    <n v="23"/>
    <b v="0"/>
    <n v="2"/>
    <n v="2"/>
    <n v="0.22"/>
    <x v="1"/>
    <x v="0"/>
    <x v="0"/>
    <s v="No"/>
  </r>
  <r>
    <n v="572"/>
    <x v="25"/>
    <n v="1"/>
    <n v="0"/>
    <b v="0"/>
    <n v="3"/>
    <n v="2"/>
    <n v="0.22"/>
    <x v="1"/>
    <x v="0"/>
    <x v="0"/>
    <s v="No"/>
  </r>
  <r>
    <n v="573"/>
    <x v="25"/>
    <n v="1"/>
    <n v="1"/>
    <b v="0"/>
    <n v="3"/>
    <n v="2"/>
    <n v="0.24"/>
    <x v="1"/>
    <x v="0"/>
    <x v="0"/>
    <s v="No"/>
  </r>
  <r>
    <n v="574"/>
    <x v="25"/>
    <n v="1"/>
    <n v="2"/>
    <b v="0"/>
    <n v="3"/>
    <n v="3"/>
    <n v="0.22"/>
    <x v="2"/>
    <x v="0"/>
    <x v="0"/>
    <s v="No"/>
  </r>
  <r>
    <n v="575"/>
    <x v="25"/>
    <n v="1"/>
    <n v="5"/>
    <b v="0"/>
    <n v="3"/>
    <n v="3"/>
    <n v="0.2"/>
    <x v="2"/>
    <x v="0"/>
    <x v="0"/>
    <s v="No"/>
  </r>
  <r>
    <n v="576"/>
    <x v="25"/>
    <n v="1"/>
    <n v="6"/>
    <b v="0"/>
    <n v="3"/>
    <n v="3"/>
    <n v="0.2"/>
    <x v="2"/>
    <x v="1"/>
    <x v="0"/>
    <s v="No"/>
  </r>
  <r>
    <n v="577"/>
    <x v="25"/>
    <n v="1"/>
    <n v="7"/>
    <b v="0"/>
    <n v="3"/>
    <n v="3"/>
    <n v="0.22"/>
    <x v="2"/>
    <x v="1"/>
    <x v="0"/>
    <s v="No"/>
  </r>
  <r>
    <n v="578"/>
    <x v="25"/>
    <n v="1"/>
    <n v="8"/>
    <b v="0"/>
    <n v="3"/>
    <n v="3"/>
    <n v="0.22"/>
    <x v="2"/>
    <x v="1"/>
    <x v="0"/>
    <s v="No"/>
  </r>
  <r>
    <n v="579"/>
    <x v="25"/>
    <n v="1"/>
    <n v="9"/>
    <b v="0"/>
    <n v="3"/>
    <n v="3"/>
    <n v="0.22"/>
    <x v="2"/>
    <x v="1"/>
    <x v="0"/>
    <s v="No"/>
  </r>
  <r>
    <n v="580"/>
    <x v="25"/>
    <n v="1"/>
    <n v="10"/>
    <b v="0"/>
    <n v="3"/>
    <n v="3"/>
    <n v="0.22"/>
    <x v="2"/>
    <x v="1"/>
    <x v="0"/>
    <s v="No"/>
  </r>
  <r>
    <n v="581"/>
    <x v="25"/>
    <n v="1"/>
    <n v="11"/>
    <b v="0"/>
    <n v="3"/>
    <n v="3"/>
    <n v="0.22"/>
    <x v="2"/>
    <x v="1"/>
    <x v="0"/>
    <s v="No"/>
  </r>
  <r>
    <n v="582"/>
    <x v="25"/>
    <n v="1"/>
    <n v="12"/>
    <b v="0"/>
    <n v="3"/>
    <n v="3"/>
    <n v="0.22"/>
    <x v="2"/>
    <x v="2"/>
    <x v="0"/>
    <s v="No"/>
  </r>
  <r>
    <n v="583"/>
    <x v="25"/>
    <n v="1"/>
    <n v="13"/>
    <b v="0"/>
    <n v="3"/>
    <n v="3"/>
    <n v="0.22"/>
    <x v="2"/>
    <x v="2"/>
    <x v="0"/>
    <s v="No"/>
  </r>
  <r>
    <n v="584"/>
    <x v="25"/>
    <n v="1"/>
    <n v="14"/>
    <b v="0"/>
    <n v="3"/>
    <n v="3"/>
    <n v="0.22"/>
    <x v="2"/>
    <x v="2"/>
    <x v="0"/>
    <s v="No"/>
  </r>
  <r>
    <n v="585"/>
    <x v="25"/>
    <n v="1"/>
    <n v="15"/>
    <b v="0"/>
    <n v="3"/>
    <n v="3"/>
    <n v="0.22"/>
    <x v="2"/>
    <x v="2"/>
    <x v="0"/>
    <s v="No"/>
  </r>
  <r>
    <n v="586"/>
    <x v="25"/>
    <n v="1"/>
    <n v="16"/>
    <b v="0"/>
    <n v="3"/>
    <n v="4"/>
    <n v="0.22"/>
    <x v="3"/>
    <x v="2"/>
    <x v="0"/>
    <s v="No"/>
  </r>
  <r>
    <n v="587"/>
    <x v="25"/>
    <n v="1"/>
    <n v="17"/>
    <b v="0"/>
    <n v="3"/>
    <n v="3"/>
    <n v="0.2"/>
    <x v="2"/>
    <x v="3"/>
    <x v="0"/>
    <s v="No"/>
  </r>
  <r>
    <n v="588"/>
    <x v="26"/>
    <n v="1"/>
    <n v="16"/>
    <b v="0"/>
    <n v="4"/>
    <n v="1"/>
    <n v="0.22"/>
    <x v="0"/>
    <x v="2"/>
    <x v="0"/>
    <s v="No"/>
  </r>
  <r>
    <n v="589"/>
    <x v="26"/>
    <n v="1"/>
    <n v="17"/>
    <b v="0"/>
    <n v="4"/>
    <n v="1"/>
    <n v="0.22"/>
    <x v="0"/>
    <x v="3"/>
    <x v="0"/>
    <s v="No"/>
  </r>
  <r>
    <n v="590"/>
    <x v="26"/>
    <n v="1"/>
    <n v="18"/>
    <b v="0"/>
    <n v="4"/>
    <n v="1"/>
    <n v="0.2"/>
    <x v="0"/>
    <x v="3"/>
    <x v="0"/>
    <s v="No"/>
  </r>
  <r>
    <n v="591"/>
    <x v="26"/>
    <n v="1"/>
    <n v="19"/>
    <b v="0"/>
    <n v="4"/>
    <n v="1"/>
    <n v="0.2"/>
    <x v="0"/>
    <x v="3"/>
    <x v="0"/>
    <s v="No"/>
  </r>
  <r>
    <n v="592"/>
    <x v="26"/>
    <n v="1"/>
    <n v="20"/>
    <b v="0"/>
    <n v="4"/>
    <n v="1"/>
    <n v="0.18"/>
    <x v="0"/>
    <x v="3"/>
    <x v="0"/>
    <s v="No"/>
  </r>
  <r>
    <n v="593"/>
    <x v="26"/>
    <n v="1"/>
    <n v="21"/>
    <b v="0"/>
    <n v="4"/>
    <n v="1"/>
    <n v="0.18"/>
    <x v="0"/>
    <x v="0"/>
    <x v="0"/>
    <s v="No"/>
  </r>
  <r>
    <n v="594"/>
    <x v="26"/>
    <n v="1"/>
    <n v="22"/>
    <b v="0"/>
    <n v="4"/>
    <n v="1"/>
    <n v="0.18"/>
    <x v="0"/>
    <x v="0"/>
    <x v="0"/>
    <s v="No"/>
  </r>
  <r>
    <n v="595"/>
    <x v="26"/>
    <n v="1"/>
    <n v="23"/>
    <b v="0"/>
    <n v="4"/>
    <n v="1"/>
    <n v="0.18"/>
    <x v="0"/>
    <x v="0"/>
    <x v="0"/>
    <s v="No"/>
  </r>
  <r>
    <n v="596"/>
    <x v="27"/>
    <n v="1"/>
    <n v="0"/>
    <b v="0"/>
    <n v="5"/>
    <n v="2"/>
    <n v="0.2"/>
    <x v="1"/>
    <x v="0"/>
    <x v="0"/>
    <s v="No"/>
  </r>
  <r>
    <n v="597"/>
    <x v="27"/>
    <n v="1"/>
    <n v="1"/>
    <b v="0"/>
    <n v="5"/>
    <n v="2"/>
    <n v="0.2"/>
    <x v="1"/>
    <x v="0"/>
    <x v="0"/>
    <s v="No"/>
  </r>
  <r>
    <n v="598"/>
    <x v="27"/>
    <n v="1"/>
    <n v="2"/>
    <b v="0"/>
    <n v="5"/>
    <n v="2"/>
    <n v="0.2"/>
    <x v="1"/>
    <x v="0"/>
    <x v="0"/>
    <s v="No"/>
  </r>
  <r>
    <n v="599"/>
    <x v="27"/>
    <n v="1"/>
    <n v="3"/>
    <b v="0"/>
    <n v="5"/>
    <n v="2"/>
    <n v="0.2"/>
    <x v="1"/>
    <x v="0"/>
    <x v="0"/>
    <s v="No"/>
  </r>
  <r>
    <n v="600"/>
    <x v="27"/>
    <n v="1"/>
    <n v="5"/>
    <b v="0"/>
    <n v="5"/>
    <n v="2"/>
    <n v="0.18"/>
    <x v="1"/>
    <x v="0"/>
    <x v="0"/>
    <s v="No"/>
  </r>
  <r>
    <n v="601"/>
    <x v="27"/>
    <n v="1"/>
    <n v="6"/>
    <b v="0"/>
    <n v="5"/>
    <n v="2"/>
    <n v="0.18"/>
    <x v="1"/>
    <x v="1"/>
    <x v="0"/>
    <s v="No"/>
  </r>
  <r>
    <n v="602"/>
    <x v="27"/>
    <n v="1"/>
    <n v="7"/>
    <b v="0"/>
    <n v="5"/>
    <n v="2"/>
    <n v="0.16"/>
    <x v="1"/>
    <x v="1"/>
    <x v="0"/>
    <s v="No"/>
  </r>
  <r>
    <n v="603"/>
    <x v="27"/>
    <n v="1"/>
    <n v="8"/>
    <b v="0"/>
    <n v="5"/>
    <n v="2"/>
    <n v="0.16"/>
    <x v="1"/>
    <x v="1"/>
    <x v="0"/>
    <s v="No"/>
  </r>
  <r>
    <n v="604"/>
    <x v="27"/>
    <n v="1"/>
    <n v="9"/>
    <b v="0"/>
    <n v="5"/>
    <n v="3"/>
    <n v="0.18"/>
    <x v="2"/>
    <x v="1"/>
    <x v="0"/>
    <s v="No"/>
  </r>
  <r>
    <n v="605"/>
    <x v="27"/>
    <n v="1"/>
    <n v="10"/>
    <b v="0"/>
    <n v="5"/>
    <n v="3"/>
    <n v="0.18"/>
    <x v="2"/>
    <x v="1"/>
    <x v="0"/>
    <s v="No"/>
  </r>
  <r>
    <n v="606"/>
    <x v="27"/>
    <n v="1"/>
    <n v="11"/>
    <b v="0"/>
    <n v="5"/>
    <n v="3"/>
    <n v="0.18"/>
    <x v="2"/>
    <x v="1"/>
    <x v="0"/>
    <s v="No"/>
  </r>
  <r>
    <n v="607"/>
    <x v="27"/>
    <n v="1"/>
    <n v="12"/>
    <b v="0"/>
    <n v="5"/>
    <n v="3"/>
    <n v="0.18"/>
    <x v="2"/>
    <x v="2"/>
    <x v="0"/>
    <s v="No"/>
  </r>
  <r>
    <n v="608"/>
    <x v="27"/>
    <n v="1"/>
    <n v="13"/>
    <b v="0"/>
    <n v="5"/>
    <n v="3"/>
    <n v="0.18"/>
    <x v="2"/>
    <x v="2"/>
    <x v="0"/>
    <s v="No"/>
  </r>
  <r>
    <n v="609"/>
    <x v="27"/>
    <n v="1"/>
    <n v="14"/>
    <b v="0"/>
    <n v="5"/>
    <n v="3"/>
    <n v="0.22"/>
    <x v="2"/>
    <x v="2"/>
    <x v="0"/>
    <s v="No"/>
  </r>
  <r>
    <n v="610"/>
    <x v="27"/>
    <n v="1"/>
    <n v="15"/>
    <b v="0"/>
    <n v="5"/>
    <n v="2"/>
    <n v="0.2"/>
    <x v="1"/>
    <x v="2"/>
    <x v="0"/>
    <s v="No"/>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7782D-1BC7-49D5-B8F2-2CC70D8AD74C}"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H40:I45" firstHeaderRow="1" firstDataRow="1" firstDataCol="1"/>
  <pivotFields count="12">
    <pivotField showAll="0"/>
    <pivotField numFmtId="14" showAll="0">
      <items count="29">
        <item x="0"/>
        <item x="1"/>
        <item x="2"/>
        <item x="3"/>
        <item x="4"/>
        <item x="5"/>
        <item x="6"/>
        <item x="7"/>
        <item x="8"/>
        <item x="9"/>
        <item x="10"/>
        <item x="11"/>
        <item x="12"/>
        <item x="13"/>
        <item x="14"/>
        <item x="15"/>
        <item x="16"/>
        <item x="17"/>
        <item x="18"/>
        <item x="19"/>
        <item x="20"/>
        <item x="21"/>
        <item x="22"/>
        <item x="23"/>
        <item x="24"/>
        <item x="25"/>
        <item x="26"/>
        <item x="27"/>
        <item t="default"/>
      </items>
    </pivotField>
    <pivotField showAll="0"/>
    <pivotField showAll="0"/>
    <pivotField showAll="0"/>
    <pivotField showAll="0"/>
    <pivotField showAll="0"/>
    <pivotField dataField="1" showAll="0"/>
    <pivotField showAll="0"/>
    <pivotField axis="axisRow" showAll="0">
      <items count="5">
        <item x="2"/>
        <item x="3"/>
        <item x="1"/>
        <item x="0"/>
        <item t="default"/>
      </items>
    </pivotField>
    <pivotField showAll="0"/>
    <pivotField showAll="0"/>
  </pivotFields>
  <rowFields count="1">
    <field x="9"/>
  </rowFields>
  <rowItems count="5">
    <i>
      <x/>
    </i>
    <i>
      <x v="1"/>
    </i>
    <i>
      <x v="2"/>
    </i>
    <i>
      <x v="3"/>
    </i>
    <i t="grand">
      <x/>
    </i>
  </rowItems>
  <colItems count="1">
    <i/>
  </colItems>
  <dataFields count="1">
    <dataField name="Average of temperature" fld="7" subtotal="average" baseField="9" baseItem="0"/>
  </dataFields>
  <chartFormats count="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3"/>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261FDF-AAD0-425C-BEA5-1A6B6925258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D40:F69" firstHeaderRow="0" firstDataRow="1" firstDataCol="1"/>
  <pivotFields count="12">
    <pivotField showAll="0"/>
    <pivotField axis="axisRow" numFmtId="14" showAll="0">
      <items count="29">
        <item x="0"/>
        <item x="1"/>
        <item x="2"/>
        <item x="3"/>
        <item x="4"/>
        <item x="5"/>
        <item x="6"/>
        <item x="7"/>
        <item x="8"/>
        <item x="9"/>
        <item x="10"/>
        <item x="11"/>
        <item x="12"/>
        <item x="13"/>
        <item x="14"/>
        <item x="15"/>
        <item x="16"/>
        <item x="17"/>
        <item x="18"/>
        <item x="19"/>
        <item x="20"/>
        <item x="21"/>
        <item x="22"/>
        <item x="23"/>
        <item x="24"/>
        <item x="25"/>
        <item x="26"/>
        <item x="27"/>
        <item t="default"/>
      </items>
    </pivotField>
    <pivotField showAll="0"/>
    <pivotField showAll="0"/>
    <pivotField showAll="0"/>
    <pivotField showAll="0"/>
    <pivotField showAll="0"/>
    <pivotField dataField="1" showAll="0"/>
    <pivotField showAll="0">
      <items count="5">
        <item x="0"/>
        <item x="3"/>
        <item x="2"/>
        <item x="1"/>
        <item t="default"/>
      </items>
    </pivotField>
    <pivotField showAll="0"/>
    <pivotField showAll="0"/>
    <pivotField showAll="0"/>
  </pivotFields>
  <rowFields count="1">
    <field x="1"/>
  </rowFields>
  <row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t="grand">
      <x/>
    </i>
  </rowItems>
  <colFields count="1">
    <field x="-2"/>
  </colFields>
  <colItems count="2">
    <i>
      <x/>
    </i>
    <i i="1">
      <x v="1"/>
    </i>
  </colItems>
  <dataFields count="2">
    <dataField name="Min of temperature" fld="7" subtotal="min" baseField="1" baseItem="0"/>
    <dataField name="Max of temperature" fld="7" subtotal="max" baseField="1"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310AE1E-D585-47EA-B964-477DF1F8E00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Weather">
  <location ref="A40:B59" firstHeaderRow="1" firstDataRow="1" firstDataCol="1"/>
  <pivotFields count="12">
    <pivotField showAll="0"/>
    <pivotField numFmtId="14" showAll="0">
      <items count="29">
        <item x="0"/>
        <item x="1"/>
        <item x="2"/>
        <item x="3"/>
        <item x="4"/>
        <item x="5"/>
        <item x="6"/>
        <item x="7"/>
        <item x="8"/>
        <item x="9"/>
        <item x="10"/>
        <item x="11"/>
        <item x="12"/>
        <item x="13"/>
        <item x="14"/>
        <item x="15"/>
        <item x="16"/>
        <item x="17"/>
        <item x="18"/>
        <item x="19"/>
        <item x="20"/>
        <item x="21"/>
        <item x="22"/>
        <item x="23"/>
        <item x="24"/>
        <item x="25"/>
        <item x="26"/>
        <item x="27"/>
        <item t="default"/>
      </items>
    </pivotField>
    <pivotField showAll="0"/>
    <pivotField showAll="0"/>
    <pivotField showAll="0"/>
    <pivotField showAll="0"/>
    <pivotField showAll="0"/>
    <pivotField dataField="1" showAll="0"/>
    <pivotField axis="axisRow" showAll="0">
      <items count="5">
        <item x="0"/>
        <item x="3"/>
        <item x="2"/>
        <item x="1"/>
        <item t="default"/>
      </items>
    </pivotField>
    <pivotField showAll="0"/>
    <pivotField axis="axisRow" showAll="0">
      <items count="6">
        <item x="0"/>
        <item x="3"/>
        <item x="1"/>
        <item x="4"/>
        <item x="2"/>
        <item t="default"/>
      </items>
    </pivotField>
    <pivotField showAll="0"/>
  </pivotFields>
  <rowFields count="2">
    <field x="8"/>
    <field x="10"/>
  </rowFields>
  <rowItems count="19">
    <i>
      <x/>
    </i>
    <i r="1">
      <x/>
    </i>
    <i r="1">
      <x v="2"/>
    </i>
    <i r="1">
      <x v="3"/>
    </i>
    <i r="1">
      <x v="4"/>
    </i>
    <i>
      <x v="1"/>
    </i>
    <i r="1">
      <x/>
    </i>
    <i>
      <x v="2"/>
    </i>
    <i r="1">
      <x/>
    </i>
    <i r="1">
      <x v="2"/>
    </i>
    <i r="1">
      <x v="3"/>
    </i>
    <i r="1">
      <x v="4"/>
    </i>
    <i>
      <x v="3"/>
    </i>
    <i r="1">
      <x/>
    </i>
    <i r="1">
      <x v="1"/>
    </i>
    <i r="1">
      <x v="2"/>
    </i>
    <i r="1">
      <x v="3"/>
    </i>
    <i r="1">
      <x v="4"/>
    </i>
    <i t="grand">
      <x/>
    </i>
  </rowItems>
  <colItems count="1">
    <i/>
  </colItems>
  <dataFields count="1">
    <dataField name="Average of temperature" fld="7" subtotal="average" baseField="8"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009E41ED-BEAC-4210-B050-BE0D16A5660B}" sourceName="date">
  <pivotTables>
    <pivotTable tabId="3" name="PivotTable2"/>
    <pivotTable tabId="3" name="PivotTable1"/>
    <pivotTable tabId="3" name="PivotTable3"/>
  </pivotTables>
  <data>
    <tabular pivotCacheId="1962251058">
      <items count="28">
        <i x="0" s="1"/>
        <i x="1" s="1"/>
        <i x="2" s="1"/>
        <i x="3" s="1"/>
        <i x="4" s="1"/>
        <i x="5" s="1"/>
        <i x="6" s="1"/>
        <i x="7" s="1"/>
        <i x="8" s="1"/>
        <i x="9" s="1"/>
        <i x="10" s="1"/>
        <i x="11" s="1"/>
        <i x="12" s="1"/>
        <i x="13" s="1"/>
        <i x="14" s="1"/>
        <i x="15" s="1"/>
        <i x="16" s="1"/>
        <i x="17" s="1"/>
        <i x="18" s="1"/>
        <i x="19" s="1"/>
        <i x="20" s="1"/>
        <i x="21" s="1"/>
        <i x="22" s="1"/>
        <i x="23" s="1"/>
        <i x="24" s="1"/>
        <i x="25" s="1"/>
        <i x="26" s="1"/>
        <i x="2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67C54108-59BB-4A07-9E44-ABA68DBEB94B}" cache="Slicer_date" caption="date"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B986030-48CB-4447-A071-189363D6335C}" name="Table13" displayName="Table13" ref="A1:H611" totalsRowShown="0" headerRowDxfId="19" dataDxfId="18">
  <autoFilter ref="A1:H611" xr:uid="{6B986030-48CB-4447-A071-189363D6335C}"/>
  <tableColumns count="8">
    <tableColumn id="1" xr3:uid="{3BF42FD6-BF79-4463-9250-6DC2524B0B1B}" name="instant" dataDxfId="11"/>
    <tableColumn id="2" xr3:uid="{ABB4001E-7268-4F1B-9A37-0825F6C5B4FE}" name="date" dataDxfId="9"/>
    <tableColumn id="3" xr3:uid="{2CE95A2E-8569-4085-A9C2-3FACBA594E20}" name="season" dataDxfId="10"/>
    <tableColumn id="4" xr3:uid="{A45F28E5-53E1-4E1D-9726-3C3DF2E3A4A8}" name="hour" dataDxfId="14"/>
    <tableColumn id="5" xr3:uid="{A15AAFDA-B859-4626-890B-094F83DEADEC}" name="holiday" dataDxfId="13"/>
    <tableColumn id="6" xr3:uid="{ECB9A85A-CFC8-4165-8594-608AD648C6BD}" name="weekday" dataDxfId="12"/>
    <tableColumn id="7" xr3:uid="{FBA59688-4363-42E0-B12C-3A5047155D11}" name="weather_situation" dataDxfId="8"/>
    <tableColumn id="8" xr3:uid="{5313C334-3BB9-42F5-BEA8-3AC8AFB1F0A6}" name="temperature" dataDxfId="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9B5207A-BD1F-4A17-8194-599860BA7362}" name="Table1" displayName="Table1" ref="A1:L611" totalsRowShown="0">
  <autoFilter ref="A1:L611" xr:uid="{C9B5207A-BD1F-4A17-8194-599860BA7362}"/>
  <tableColumns count="12">
    <tableColumn id="1" xr3:uid="{15107086-B936-49D3-834C-FC10061D96E1}" name="instant" dataDxfId="6"/>
    <tableColumn id="2" xr3:uid="{ADC4EDFF-CED8-4FF2-ABB3-35DF71F0F15C}" name="date" dataDxfId="5"/>
    <tableColumn id="3" xr3:uid="{B97B8877-AAB3-45DE-8D63-3522430677F9}" name="season" dataDxfId="4"/>
    <tableColumn id="4" xr3:uid="{54AA77C7-196F-44CA-85EC-7C71C659B1BB}" name="hour" dataDxfId="3"/>
    <tableColumn id="5" xr3:uid="{9376AF08-F56F-4F42-98A3-AF6157EA89D7}" name="holiday"/>
    <tableColumn id="6" xr3:uid="{DE69270C-0D2B-450F-890F-1EAD2EF370D8}" name="weekday" dataDxfId="2"/>
    <tableColumn id="7" xr3:uid="{AA6D3A6C-53D4-4FC4-8A26-0A46A84CD6A3}" name="weather_situation" dataDxfId="1"/>
    <tableColumn id="8" xr3:uid="{0FC98547-8F41-4CBC-8019-E8AA74891241}" name="temperature" dataDxfId="0"/>
    <tableColumn id="9" xr3:uid="{AF60DE93-81FD-4F55-9A24-4D814D93CA95}" name="Weather_Description"/>
    <tableColumn id="10" xr3:uid="{E6FB610F-8855-4EA3-A3D9-51392BFE57DD}" name="Time_of_Day"/>
    <tableColumn id="11" xr3:uid="{64BE2556-F376-4653-AB66-2CFB55CE7743}" name="Temperature_Level"/>
    <tableColumn id="12" xr3:uid="{520DAF95-930D-4CEF-BAA8-3441E488CD75}" name="Weekend"/>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88BDA26-12D5-44D5-BFEB-219EA8EB937F}" name="Table3" displayName="Table3" ref="A1:E38" totalsRowShown="0">
  <autoFilter ref="A1:E38" xr:uid="{288BDA26-12D5-44D5-BFEB-219EA8EB937F}"/>
  <tableColumns count="5">
    <tableColumn id="1" xr3:uid="{1392E8AC-2E76-4085-B360-D122DE097AB8}" name="date" dataDxfId="17"/>
    <tableColumn id="2" xr3:uid="{4C49E44B-FD02-4B13-BE1D-F9626ECEAC19}" name="temperature"/>
    <tableColumn id="3" xr3:uid="{AAB3C66E-8099-424D-B046-3316910A9617}" name="Forecast(temperature)">
      <calculatedColumnFormula>_xlfn.FORECAST.ETS(A2,$B$2:$B$29,$A$2:$A$29,1,1)</calculatedColumnFormula>
    </tableColumn>
    <tableColumn id="4" xr3:uid="{FB668D2F-511A-449B-B613-AC3BF05A88FF}" name="Lower Confidence Bound(temperature)" dataDxfId="16">
      <calculatedColumnFormula>C2-_xlfn.FORECAST.ETS.CONFINT(A2,$B$2:$B$29,$A$2:$A$29,0.95,1,1)</calculatedColumnFormula>
    </tableColumn>
    <tableColumn id="5" xr3:uid="{5607FB46-FCE7-4462-8BF3-20EAF43C5724}" name="Upper Confidence Bound(temperature)" dataDxfId="15">
      <calculatedColumnFormula>C2+_xlfn.FORECAST.ETS.CONFINT(A2,$B$2:$B$29,$A$2:$A$29,0.95,1,1)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91DCB-22B0-435F-AA12-E4FBC69856B4}">
  <dimension ref="A1:H611"/>
  <sheetViews>
    <sheetView workbookViewId="0">
      <selection activeCell="I6" sqref="I6"/>
    </sheetView>
  </sheetViews>
  <sheetFormatPr defaultRowHeight="14.4" x14ac:dyDescent="0.3"/>
  <cols>
    <col min="1" max="1" width="8.6640625" style="12" bestFit="1" customWidth="1"/>
    <col min="2" max="2" width="10.109375" style="2" bestFit="1" customWidth="1"/>
    <col min="3" max="3" width="8.6640625" style="12" bestFit="1" customWidth="1"/>
    <col min="4" max="4" width="6.88671875" style="12" bestFit="1" customWidth="1"/>
    <col min="6" max="6" width="10.33203125" style="12" bestFit="1" customWidth="1"/>
    <col min="7" max="7" width="17.77734375" style="12" bestFit="1" customWidth="1"/>
    <col min="8" max="8" width="13.33203125" style="9" bestFit="1" customWidth="1"/>
  </cols>
  <sheetData>
    <row r="1" spans="1:8" x14ac:dyDescent="0.3">
      <c r="A1" s="11" t="s">
        <v>0</v>
      </c>
      <c r="B1" s="13" t="s">
        <v>1</v>
      </c>
      <c r="C1" s="11" t="s">
        <v>2</v>
      </c>
      <c r="D1" s="11" t="s">
        <v>3</v>
      </c>
      <c r="E1" s="1" t="s">
        <v>4</v>
      </c>
      <c r="F1" s="11" t="s">
        <v>5</v>
      </c>
      <c r="G1" s="11" t="s">
        <v>6</v>
      </c>
      <c r="H1" s="10" t="s">
        <v>7</v>
      </c>
    </row>
    <row r="2" spans="1:8" x14ac:dyDescent="0.3">
      <c r="A2" s="11">
        <v>1</v>
      </c>
      <c r="B2" s="13">
        <v>40544</v>
      </c>
      <c r="C2" s="11">
        <v>1</v>
      </c>
      <c r="D2" s="11">
        <v>0</v>
      </c>
      <c r="E2" s="1" t="b">
        <v>0</v>
      </c>
      <c r="F2" s="11">
        <v>6</v>
      </c>
      <c r="G2" s="11">
        <v>1</v>
      </c>
      <c r="H2" s="10">
        <v>0.24</v>
      </c>
    </row>
    <row r="3" spans="1:8" x14ac:dyDescent="0.3">
      <c r="A3" s="11">
        <v>2</v>
      </c>
      <c r="B3" s="13">
        <v>40544</v>
      </c>
      <c r="C3" s="11">
        <v>1</v>
      </c>
      <c r="D3" s="11">
        <v>1</v>
      </c>
      <c r="E3" s="1" t="b">
        <v>0</v>
      </c>
      <c r="F3" s="11">
        <v>6</v>
      </c>
      <c r="G3" s="11">
        <v>1</v>
      </c>
      <c r="H3" s="10">
        <v>0.22</v>
      </c>
    </row>
    <row r="4" spans="1:8" x14ac:dyDescent="0.3">
      <c r="A4" s="11">
        <v>3</v>
      </c>
      <c r="B4" s="13">
        <v>40544</v>
      </c>
      <c r="C4" s="11">
        <v>1</v>
      </c>
      <c r="D4" s="11">
        <v>2</v>
      </c>
      <c r="E4" s="1" t="b">
        <v>0</v>
      </c>
      <c r="F4" s="11">
        <v>6</v>
      </c>
      <c r="G4" s="11">
        <v>1</v>
      </c>
      <c r="H4" s="10">
        <v>0.22</v>
      </c>
    </row>
    <row r="5" spans="1:8" x14ac:dyDescent="0.3">
      <c r="A5" s="11">
        <v>4</v>
      </c>
      <c r="B5" s="13">
        <v>40544</v>
      </c>
      <c r="C5" s="11">
        <v>1</v>
      </c>
      <c r="D5" s="11">
        <v>3</v>
      </c>
      <c r="E5" s="1" t="b">
        <v>0</v>
      </c>
      <c r="F5" s="11">
        <v>6</v>
      </c>
      <c r="G5" s="11">
        <v>1</v>
      </c>
      <c r="H5" s="10">
        <v>0.24</v>
      </c>
    </row>
    <row r="6" spans="1:8" x14ac:dyDescent="0.3">
      <c r="A6" s="11">
        <v>5</v>
      </c>
      <c r="B6" s="13">
        <v>40544</v>
      </c>
      <c r="C6" s="11">
        <v>1</v>
      </c>
      <c r="D6" s="11">
        <v>4</v>
      </c>
      <c r="E6" s="1" t="b">
        <v>0</v>
      </c>
      <c r="F6" s="11">
        <v>6</v>
      </c>
      <c r="G6" s="11">
        <v>1</v>
      </c>
      <c r="H6" s="10">
        <v>0.24</v>
      </c>
    </row>
    <row r="7" spans="1:8" x14ac:dyDescent="0.3">
      <c r="A7" s="11">
        <v>6</v>
      </c>
      <c r="B7" s="13">
        <v>40544</v>
      </c>
      <c r="C7" s="11">
        <v>1</v>
      </c>
      <c r="D7" s="11">
        <v>5</v>
      </c>
      <c r="E7" s="1" t="b">
        <v>0</v>
      </c>
      <c r="F7" s="11">
        <v>6</v>
      </c>
      <c r="G7" s="11">
        <v>2</v>
      </c>
      <c r="H7" s="10">
        <v>0.24</v>
      </c>
    </row>
    <row r="8" spans="1:8" x14ac:dyDescent="0.3">
      <c r="A8" s="11">
        <v>7</v>
      </c>
      <c r="B8" s="13">
        <v>40544</v>
      </c>
      <c r="C8" s="11">
        <v>1</v>
      </c>
      <c r="D8" s="11">
        <v>6</v>
      </c>
      <c r="E8" s="1" t="b">
        <v>0</v>
      </c>
      <c r="F8" s="11">
        <v>6</v>
      </c>
      <c r="G8" s="11">
        <v>1</v>
      </c>
      <c r="H8" s="10">
        <v>0.22</v>
      </c>
    </row>
    <row r="9" spans="1:8" x14ac:dyDescent="0.3">
      <c r="A9" s="11">
        <v>8</v>
      </c>
      <c r="B9" s="13">
        <v>40544</v>
      </c>
      <c r="C9" s="11">
        <v>1</v>
      </c>
      <c r="D9" s="11">
        <v>7</v>
      </c>
      <c r="E9" s="1" t="b">
        <v>0</v>
      </c>
      <c r="F9" s="11">
        <v>6</v>
      </c>
      <c r="G9" s="11">
        <v>1</v>
      </c>
      <c r="H9" s="10">
        <v>0.2</v>
      </c>
    </row>
    <row r="10" spans="1:8" x14ac:dyDescent="0.3">
      <c r="A10" s="11">
        <v>9</v>
      </c>
      <c r="B10" s="13">
        <v>40544</v>
      </c>
      <c r="C10" s="11">
        <v>1</v>
      </c>
      <c r="D10" s="11">
        <v>8</v>
      </c>
      <c r="E10" s="1" t="b">
        <v>0</v>
      </c>
      <c r="F10" s="11">
        <v>6</v>
      </c>
      <c r="G10" s="11">
        <v>1</v>
      </c>
      <c r="H10" s="10">
        <v>0.24</v>
      </c>
    </row>
    <row r="11" spans="1:8" x14ac:dyDescent="0.3">
      <c r="A11" s="11">
        <v>10</v>
      </c>
      <c r="B11" s="13">
        <v>40544</v>
      </c>
      <c r="C11" s="11">
        <v>1</v>
      </c>
      <c r="D11" s="11">
        <v>9</v>
      </c>
      <c r="E11" s="1" t="b">
        <v>0</v>
      </c>
      <c r="F11" s="11">
        <v>6</v>
      </c>
      <c r="G11" s="11">
        <v>1</v>
      </c>
      <c r="H11" s="10">
        <v>0.32</v>
      </c>
    </row>
    <row r="12" spans="1:8" x14ac:dyDescent="0.3">
      <c r="A12" s="11">
        <v>11</v>
      </c>
      <c r="B12" s="13">
        <v>40544</v>
      </c>
      <c r="C12" s="11">
        <v>1</v>
      </c>
      <c r="D12" s="11">
        <v>10</v>
      </c>
      <c r="E12" s="1" t="b">
        <v>0</v>
      </c>
      <c r="F12" s="11">
        <v>6</v>
      </c>
      <c r="G12" s="11">
        <v>1</v>
      </c>
      <c r="H12" s="10">
        <v>0.38</v>
      </c>
    </row>
    <row r="13" spans="1:8" x14ac:dyDescent="0.3">
      <c r="A13" s="11">
        <v>12</v>
      </c>
      <c r="B13" s="13">
        <v>40544</v>
      </c>
      <c r="C13" s="11">
        <v>1</v>
      </c>
      <c r="D13" s="11">
        <v>11</v>
      </c>
      <c r="E13" s="1" t="b">
        <v>0</v>
      </c>
      <c r="F13" s="11">
        <v>6</v>
      </c>
      <c r="G13" s="11">
        <v>1</v>
      </c>
      <c r="H13" s="10">
        <v>0.36</v>
      </c>
    </row>
    <row r="14" spans="1:8" x14ac:dyDescent="0.3">
      <c r="A14" s="11">
        <v>13</v>
      </c>
      <c r="B14" s="13">
        <v>40544</v>
      </c>
      <c r="C14" s="11">
        <v>1</v>
      </c>
      <c r="D14" s="11">
        <v>12</v>
      </c>
      <c r="E14" s="1" t="b">
        <v>0</v>
      </c>
      <c r="F14" s="11">
        <v>6</v>
      </c>
      <c r="G14" s="11">
        <v>1</v>
      </c>
      <c r="H14" s="10">
        <v>0.42</v>
      </c>
    </row>
    <row r="15" spans="1:8" x14ac:dyDescent="0.3">
      <c r="A15" s="11">
        <v>14</v>
      </c>
      <c r="B15" s="13">
        <v>40544</v>
      </c>
      <c r="C15" s="11">
        <v>1</v>
      </c>
      <c r="D15" s="11">
        <v>13</v>
      </c>
      <c r="E15" s="1" t="b">
        <v>0</v>
      </c>
      <c r="F15" s="11">
        <v>6</v>
      </c>
      <c r="G15" s="11">
        <v>2</v>
      </c>
      <c r="H15" s="10">
        <v>0.46</v>
      </c>
    </row>
    <row r="16" spans="1:8" x14ac:dyDescent="0.3">
      <c r="A16" s="11">
        <v>15</v>
      </c>
      <c r="B16" s="13">
        <v>40544</v>
      </c>
      <c r="C16" s="11">
        <v>1</v>
      </c>
      <c r="D16" s="11">
        <v>14</v>
      </c>
      <c r="E16" s="1" t="b">
        <v>0</v>
      </c>
      <c r="F16" s="11">
        <v>6</v>
      </c>
      <c r="G16" s="11">
        <v>2</v>
      </c>
      <c r="H16" s="10">
        <v>0.46</v>
      </c>
    </row>
    <row r="17" spans="1:8" x14ac:dyDescent="0.3">
      <c r="A17" s="11">
        <v>16</v>
      </c>
      <c r="B17" s="13">
        <v>40544</v>
      </c>
      <c r="C17" s="11">
        <v>1</v>
      </c>
      <c r="D17" s="11">
        <v>15</v>
      </c>
      <c r="E17" s="1" t="b">
        <v>0</v>
      </c>
      <c r="F17" s="11">
        <v>6</v>
      </c>
      <c r="G17" s="11">
        <v>2</v>
      </c>
      <c r="H17" s="10">
        <v>0.44</v>
      </c>
    </row>
    <row r="18" spans="1:8" x14ac:dyDescent="0.3">
      <c r="A18" s="11">
        <v>17</v>
      </c>
      <c r="B18" s="13">
        <v>40544</v>
      </c>
      <c r="C18" s="11">
        <v>1</v>
      </c>
      <c r="D18" s="11">
        <v>16</v>
      </c>
      <c r="E18" s="1" t="b">
        <v>0</v>
      </c>
      <c r="F18" s="11">
        <v>6</v>
      </c>
      <c r="G18" s="11">
        <v>2</v>
      </c>
      <c r="H18" s="10">
        <v>0.42</v>
      </c>
    </row>
    <row r="19" spans="1:8" x14ac:dyDescent="0.3">
      <c r="A19" s="11">
        <v>18</v>
      </c>
      <c r="B19" s="13">
        <v>40544</v>
      </c>
      <c r="C19" s="11">
        <v>1</v>
      </c>
      <c r="D19" s="11">
        <v>17</v>
      </c>
      <c r="E19" s="1" t="b">
        <v>0</v>
      </c>
      <c r="F19" s="11">
        <v>6</v>
      </c>
      <c r="G19" s="11">
        <v>2</v>
      </c>
      <c r="H19" s="10">
        <v>0.44</v>
      </c>
    </row>
    <row r="20" spans="1:8" x14ac:dyDescent="0.3">
      <c r="A20" s="11">
        <v>19</v>
      </c>
      <c r="B20" s="13">
        <v>40544</v>
      </c>
      <c r="C20" s="11">
        <v>1</v>
      </c>
      <c r="D20" s="11">
        <v>18</v>
      </c>
      <c r="E20" s="1" t="b">
        <v>0</v>
      </c>
      <c r="F20" s="11">
        <v>6</v>
      </c>
      <c r="G20" s="11">
        <v>3</v>
      </c>
      <c r="H20" s="10">
        <v>0.42</v>
      </c>
    </row>
    <row r="21" spans="1:8" x14ac:dyDescent="0.3">
      <c r="A21" s="11">
        <v>20</v>
      </c>
      <c r="B21" s="13">
        <v>40544</v>
      </c>
      <c r="C21" s="11">
        <v>1</v>
      </c>
      <c r="D21" s="11">
        <v>19</v>
      </c>
      <c r="E21" s="1" t="b">
        <v>0</v>
      </c>
      <c r="F21" s="11">
        <v>6</v>
      </c>
      <c r="G21" s="11">
        <v>3</v>
      </c>
      <c r="H21" s="10">
        <v>0.42</v>
      </c>
    </row>
    <row r="22" spans="1:8" x14ac:dyDescent="0.3">
      <c r="A22" s="11">
        <v>21</v>
      </c>
      <c r="B22" s="13">
        <v>40544</v>
      </c>
      <c r="C22" s="11">
        <v>1</v>
      </c>
      <c r="D22" s="11">
        <v>20</v>
      </c>
      <c r="E22" s="1" t="b">
        <v>0</v>
      </c>
      <c r="F22" s="11">
        <v>6</v>
      </c>
      <c r="G22" s="11">
        <v>2</v>
      </c>
      <c r="H22" s="10">
        <v>0.4</v>
      </c>
    </row>
    <row r="23" spans="1:8" x14ac:dyDescent="0.3">
      <c r="A23" s="11">
        <v>22</v>
      </c>
      <c r="B23" s="13">
        <v>40544</v>
      </c>
      <c r="C23" s="11">
        <v>1</v>
      </c>
      <c r="D23" s="11">
        <v>21</v>
      </c>
      <c r="E23" s="1" t="b">
        <v>0</v>
      </c>
      <c r="F23" s="11">
        <v>6</v>
      </c>
      <c r="G23" s="11">
        <v>2</v>
      </c>
      <c r="H23" s="10">
        <v>0.4</v>
      </c>
    </row>
    <row r="24" spans="1:8" x14ac:dyDescent="0.3">
      <c r="A24" s="11">
        <v>23</v>
      </c>
      <c r="B24" s="13">
        <v>40544</v>
      </c>
      <c r="C24" s="11">
        <v>1</v>
      </c>
      <c r="D24" s="11">
        <v>22</v>
      </c>
      <c r="E24" s="1" t="b">
        <v>0</v>
      </c>
      <c r="F24" s="11">
        <v>6</v>
      </c>
      <c r="G24" s="11">
        <v>2</v>
      </c>
      <c r="H24" s="10">
        <v>0.4</v>
      </c>
    </row>
    <row r="25" spans="1:8" x14ac:dyDescent="0.3">
      <c r="A25" s="11">
        <v>24</v>
      </c>
      <c r="B25" s="13">
        <v>40544</v>
      </c>
      <c r="C25" s="11">
        <v>1</v>
      </c>
      <c r="D25" s="11">
        <v>23</v>
      </c>
      <c r="E25" s="1" t="b">
        <v>0</v>
      </c>
      <c r="F25" s="11">
        <v>6</v>
      </c>
      <c r="G25" s="11">
        <v>2</v>
      </c>
      <c r="H25" s="10">
        <v>0.46</v>
      </c>
    </row>
    <row r="26" spans="1:8" x14ac:dyDescent="0.3">
      <c r="A26" s="11">
        <v>25</v>
      </c>
      <c r="B26" s="13">
        <v>40545</v>
      </c>
      <c r="C26" s="11">
        <v>1</v>
      </c>
      <c r="D26" s="11">
        <v>0</v>
      </c>
      <c r="E26" s="1" t="b">
        <v>0</v>
      </c>
      <c r="F26" s="11">
        <v>0</v>
      </c>
      <c r="G26" s="11">
        <v>2</v>
      </c>
      <c r="H26" s="10">
        <v>0.46</v>
      </c>
    </row>
    <row r="27" spans="1:8" x14ac:dyDescent="0.3">
      <c r="A27" s="11">
        <v>26</v>
      </c>
      <c r="B27" s="13">
        <v>40545</v>
      </c>
      <c r="C27" s="11">
        <v>1</v>
      </c>
      <c r="D27" s="11">
        <v>1</v>
      </c>
      <c r="E27" s="1" t="b">
        <v>0</v>
      </c>
      <c r="F27" s="11">
        <v>0</v>
      </c>
      <c r="G27" s="11">
        <v>2</v>
      </c>
      <c r="H27" s="10">
        <v>0.44</v>
      </c>
    </row>
    <row r="28" spans="1:8" x14ac:dyDescent="0.3">
      <c r="A28" s="11">
        <v>27</v>
      </c>
      <c r="B28" s="13">
        <v>40545</v>
      </c>
      <c r="C28" s="11">
        <v>1</v>
      </c>
      <c r="D28" s="11">
        <v>2</v>
      </c>
      <c r="E28" s="1" t="b">
        <v>0</v>
      </c>
      <c r="F28" s="11">
        <v>0</v>
      </c>
      <c r="G28" s="11">
        <v>2</v>
      </c>
      <c r="H28" s="10">
        <v>0.42</v>
      </c>
    </row>
    <row r="29" spans="1:8" x14ac:dyDescent="0.3">
      <c r="A29" s="11">
        <v>28</v>
      </c>
      <c r="B29" s="13">
        <v>40545</v>
      </c>
      <c r="C29" s="11">
        <v>1</v>
      </c>
      <c r="D29" s="11">
        <v>3</v>
      </c>
      <c r="E29" s="1" t="b">
        <v>0</v>
      </c>
      <c r="F29" s="11">
        <v>0</v>
      </c>
      <c r="G29" s="11">
        <v>2</v>
      </c>
      <c r="H29" s="10">
        <v>0.46</v>
      </c>
    </row>
    <row r="30" spans="1:8" x14ac:dyDescent="0.3">
      <c r="A30" s="11">
        <v>29</v>
      </c>
      <c r="B30" s="13">
        <v>40545</v>
      </c>
      <c r="C30" s="11">
        <v>1</v>
      </c>
      <c r="D30" s="11">
        <v>4</v>
      </c>
      <c r="E30" s="1" t="b">
        <v>0</v>
      </c>
      <c r="F30" s="11">
        <v>0</v>
      </c>
      <c r="G30" s="11">
        <v>2</v>
      </c>
      <c r="H30" s="10">
        <v>0.46</v>
      </c>
    </row>
    <row r="31" spans="1:8" x14ac:dyDescent="0.3">
      <c r="A31" s="11">
        <v>30</v>
      </c>
      <c r="B31" s="13">
        <v>40545</v>
      </c>
      <c r="C31" s="11">
        <v>1</v>
      </c>
      <c r="D31" s="11">
        <v>6</v>
      </c>
      <c r="E31" s="1" t="b">
        <v>0</v>
      </c>
      <c r="F31" s="11">
        <v>0</v>
      </c>
      <c r="G31" s="11">
        <v>3</v>
      </c>
      <c r="H31" s="10">
        <v>0.42</v>
      </c>
    </row>
    <row r="32" spans="1:8" x14ac:dyDescent="0.3">
      <c r="A32" s="11">
        <v>31</v>
      </c>
      <c r="B32" s="13">
        <v>40545</v>
      </c>
      <c r="C32" s="11">
        <v>1</v>
      </c>
      <c r="D32" s="11">
        <v>7</v>
      </c>
      <c r="E32" s="1" t="b">
        <v>0</v>
      </c>
      <c r="F32" s="11">
        <v>0</v>
      </c>
      <c r="G32" s="11">
        <v>2</v>
      </c>
      <c r="H32" s="10">
        <v>0.4</v>
      </c>
    </row>
    <row r="33" spans="1:8" x14ac:dyDescent="0.3">
      <c r="A33" s="11">
        <v>32</v>
      </c>
      <c r="B33" s="13">
        <v>40545</v>
      </c>
      <c r="C33" s="11">
        <v>1</v>
      </c>
      <c r="D33" s="11">
        <v>8</v>
      </c>
      <c r="E33" s="1" t="b">
        <v>0</v>
      </c>
      <c r="F33" s="11">
        <v>0</v>
      </c>
      <c r="G33" s="11">
        <v>3</v>
      </c>
      <c r="H33" s="10">
        <v>0.4</v>
      </c>
    </row>
    <row r="34" spans="1:8" x14ac:dyDescent="0.3">
      <c r="A34" s="11">
        <v>33</v>
      </c>
      <c r="B34" s="13">
        <v>40545</v>
      </c>
      <c r="C34" s="11">
        <v>1</v>
      </c>
      <c r="D34" s="11">
        <v>9</v>
      </c>
      <c r="E34" s="1" t="b">
        <v>0</v>
      </c>
      <c r="F34" s="11">
        <v>0</v>
      </c>
      <c r="G34" s="11">
        <v>2</v>
      </c>
      <c r="H34" s="10">
        <v>0.38</v>
      </c>
    </row>
    <row r="35" spans="1:8" x14ac:dyDescent="0.3">
      <c r="A35" s="11">
        <v>34</v>
      </c>
      <c r="B35" s="13">
        <v>40545</v>
      </c>
      <c r="C35" s="11">
        <v>1</v>
      </c>
      <c r="D35" s="11">
        <v>10</v>
      </c>
      <c r="E35" s="1" t="b">
        <v>0</v>
      </c>
      <c r="F35" s="11">
        <v>0</v>
      </c>
      <c r="G35" s="11">
        <v>2</v>
      </c>
      <c r="H35" s="10">
        <v>0.36</v>
      </c>
    </row>
    <row r="36" spans="1:8" x14ac:dyDescent="0.3">
      <c r="A36" s="11">
        <v>35</v>
      </c>
      <c r="B36" s="13">
        <v>40545</v>
      </c>
      <c r="C36" s="11">
        <v>1</v>
      </c>
      <c r="D36" s="11">
        <v>11</v>
      </c>
      <c r="E36" s="1" t="b">
        <v>0</v>
      </c>
      <c r="F36" s="11">
        <v>0</v>
      </c>
      <c r="G36" s="11">
        <v>2</v>
      </c>
      <c r="H36" s="10">
        <v>0.36</v>
      </c>
    </row>
    <row r="37" spans="1:8" x14ac:dyDescent="0.3">
      <c r="A37" s="11">
        <v>36</v>
      </c>
      <c r="B37" s="13">
        <v>40545</v>
      </c>
      <c r="C37" s="11">
        <v>1</v>
      </c>
      <c r="D37" s="11">
        <v>12</v>
      </c>
      <c r="E37" s="1" t="b">
        <v>0</v>
      </c>
      <c r="F37" s="11">
        <v>0</v>
      </c>
      <c r="G37" s="11">
        <v>2</v>
      </c>
      <c r="H37" s="10">
        <v>0.36</v>
      </c>
    </row>
    <row r="38" spans="1:8" x14ac:dyDescent="0.3">
      <c r="A38" s="11">
        <v>37</v>
      </c>
      <c r="B38" s="13">
        <v>40545</v>
      </c>
      <c r="C38" s="11">
        <v>1</v>
      </c>
      <c r="D38" s="11">
        <v>13</v>
      </c>
      <c r="E38" s="1" t="b">
        <v>0</v>
      </c>
      <c r="F38" s="11">
        <v>0</v>
      </c>
      <c r="G38" s="11">
        <v>2</v>
      </c>
      <c r="H38" s="10">
        <v>0.36</v>
      </c>
    </row>
    <row r="39" spans="1:8" x14ac:dyDescent="0.3">
      <c r="A39" s="11">
        <v>38</v>
      </c>
      <c r="B39" s="13">
        <v>40545</v>
      </c>
      <c r="C39" s="11">
        <v>1</v>
      </c>
      <c r="D39" s="11">
        <v>14</v>
      </c>
      <c r="E39" s="1" t="b">
        <v>0</v>
      </c>
      <c r="F39" s="11">
        <v>0</v>
      </c>
      <c r="G39" s="11">
        <v>3</v>
      </c>
      <c r="H39" s="10">
        <v>0.36</v>
      </c>
    </row>
    <row r="40" spans="1:8" x14ac:dyDescent="0.3">
      <c r="A40" s="11">
        <v>39</v>
      </c>
      <c r="B40" s="13">
        <v>40545</v>
      </c>
      <c r="C40" s="11">
        <v>1</v>
      </c>
      <c r="D40" s="11">
        <v>15</v>
      </c>
      <c r="E40" s="1" t="b">
        <v>0</v>
      </c>
      <c r="F40" s="11">
        <v>0</v>
      </c>
      <c r="G40" s="11">
        <v>3</v>
      </c>
      <c r="H40" s="10">
        <v>0.34</v>
      </c>
    </row>
    <row r="41" spans="1:8" x14ac:dyDescent="0.3">
      <c r="A41" s="11">
        <v>40</v>
      </c>
      <c r="B41" s="13">
        <v>40545</v>
      </c>
      <c r="C41" s="11">
        <v>1</v>
      </c>
      <c r="D41" s="11">
        <v>16</v>
      </c>
      <c r="E41" s="1" t="b">
        <v>0</v>
      </c>
      <c r="F41" s="11">
        <v>0</v>
      </c>
      <c r="G41" s="11">
        <v>3</v>
      </c>
      <c r="H41" s="10">
        <v>0.34</v>
      </c>
    </row>
    <row r="42" spans="1:8" x14ac:dyDescent="0.3">
      <c r="A42" s="11">
        <v>41</v>
      </c>
      <c r="B42" s="13">
        <v>40545</v>
      </c>
      <c r="C42" s="11">
        <v>1</v>
      </c>
      <c r="D42" s="11">
        <v>17</v>
      </c>
      <c r="E42" s="1" t="b">
        <v>0</v>
      </c>
      <c r="F42" s="11">
        <v>0</v>
      </c>
      <c r="G42" s="11">
        <v>1</v>
      </c>
      <c r="H42" s="10">
        <v>0.34</v>
      </c>
    </row>
    <row r="43" spans="1:8" x14ac:dyDescent="0.3">
      <c r="A43" s="11">
        <v>42</v>
      </c>
      <c r="B43" s="13">
        <v>40545</v>
      </c>
      <c r="C43" s="11">
        <v>1</v>
      </c>
      <c r="D43" s="11">
        <v>18</v>
      </c>
      <c r="E43" s="1" t="b">
        <v>0</v>
      </c>
      <c r="F43" s="11">
        <v>0</v>
      </c>
      <c r="G43" s="11">
        <v>2</v>
      </c>
      <c r="H43" s="10">
        <v>0.36</v>
      </c>
    </row>
    <row r="44" spans="1:8" x14ac:dyDescent="0.3">
      <c r="A44" s="11">
        <v>43</v>
      </c>
      <c r="B44" s="13">
        <v>40545</v>
      </c>
      <c r="C44" s="11">
        <v>1</v>
      </c>
      <c r="D44" s="11">
        <v>19</v>
      </c>
      <c r="E44" s="1" t="b">
        <v>0</v>
      </c>
      <c r="F44" s="11">
        <v>0</v>
      </c>
      <c r="G44" s="11">
        <v>1</v>
      </c>
      <c r="H44" s="10">
        <v>0.32</v>
      </c>
    </row>
    <row r="45" spans="1:8" x14ac:dyDescent="0.3">
      <c r="A45" s="11">
        <v>44</v>
      </c>
      <c r="B45" s="13">
        <v>40545</v>
      </c>
      <c r="C45" s="11">
        <v>1</v>
      </c>
      <c r="D45" s="11">
        <v>20</v>
      </c>
      <c r="E45" s="1" t="b">
        <v>0</v>
      </c>
      <c r="F45" s="11">
        <v>0</v>
      </c>
      <c r="G45" s="11">
        <v>1</v>
      </c>
      <c r="H45" s="10">
        <v>0.3</v>
      </c>
    </row>
    <row r="46" spans="1:8" x14ac:dyDescent="0.3">
      <c r="A46" s="11">
        <v>45</v>
      </c>
      <c r="B46" s="13">
        <v>40545</v>
      </c>
      <c r="C46" s="11">
        <v>1</v>
      </c>
      <c r="D46" s="11">
        <v>21</v>
      </c>
      <c r="E46" s="1" t="b">
        <v>0</v>
      </c>
      <c r="F46" s="11">
        <v>0</v>
      </c>
      <c r="G46" s="11">
        <v>1</v>
      </c>
      <c r="H46" s="10">
        <v>0.26</v>
      </c>
    </row>
    <row r="47" spans="1:8" x14ac:dyDescent="0.3">
      <c r="A47" s="11">
        <v>46</v>
      </c>
      <c r="B47" s="13">
        <v>40545</v>
      </c>
      <c r="C47" s="11">
        <v>1</v>
      </c>
      <c r="D47" s="11">
        <v>22</v>
      </c>
      <c r="E47" s="1" t="b">
        <v>0</v>
      </c>
      <c r="F47" s="11">
        <v>0</v>
      </c>
      <c r="G47" s="11">
        <v>1</v>
      </c>
      <c r="H47" s="10">
        <v>0.24</v>
      </c>
    </row>
    <row r="48" spans="1:8" x14ac:dyDescent="0.3">
      <c r="A48" s="11">
        <v>47</v>
      </c>
      <c r="B48" s="13">
        <v>40545</v>
      </c>
      <c r="C48" s="11">
        <v>1</v>
      </c>
      <c r="D48" s="11">
        <v>23</v>
      </c>
      <c r="E48" s="1" t="b">
        <v>0</v>
      </c>
      <c r="F48" s="11">
        <v>0</v>
      </c>
      <c r="G48" s="11">
        <v>1</v>
      </c>
      <c r="H48" s="10">
        <v>0.22</v>
      </c>
    </row>
    <row r="49" spans="1:8" x14ac:dyDescent="0.3">
      <c r="A49" s="11">
        <v>48</v>
      </c>
      <c r="B49" s="13">
        <v>40546</v>
      </c>
      <c r="C49" s="11">
        <v>1</v>
      </c>
      <c r="D49" s="11">
        <v>0</v>
      </c>
      <c r="E49" s="1" t="b">
        <v>0</v>
      </c>
      <c r="F49" s="11">
        <v>1</v>
      </c>
      <c r="G49" s="11">
        <v>1</v>
      </c>
      <c r="H49" s="10">
        <v>0.22</v>
      </c>
    </row>
    <row r="50" spans="1:8" x14ac:dyDescent="0.3">
      <c r="A50" s="11">
        <v>49</v>
      </c>
      <c r="B50" s="13">
        <v>40546</v>
      </c>
      <c r="C50" s="11">
        <v>1</v>
      </c>
      <c r="D50" s="11">
        <v>1</v>
      </c>
      <c r="E50" s="1" t="b">
        <v>0</v>
      </c>
      <c r="F50" s="11">
        <v>1</v>
      </c>
      <c r="G50" s="11">
        <v>1</v>
      </c>
      <c r="H50" s="10">
        <v>0.2</v>
      </c>
    </row>
    <row r="51" spans="1:8" x14ac:dyDescent="0.3">
      <c r="A51" s="11">
        <v>50</v>
      </c>
      <c r="B51" s="13">
        <v>40546</v>
      </c>
      <c r="C51" s="11">
        <v>1</v>
      </c>
      <c r="D51" s="11">
        <v>4</v>
      </c>
      <c r="E51" s="1" t="b">
        <v>0</v>
      </c>
      <c r="F51" s="11">
        <v>1</v>
      </c>
      <c r="G51" s="11">
        <v>1</v>
      </c>
      <c r="H51" s="10">
        <v>0.16</v>
      </c>
    </row>
    <row r="52" spans="1:8" x14ac:dyDescent="0.3">
      <c r="A52" s="11">
        <v>51</v>
      </c>
      <c r="B52" s="13">
        <v>40546</v>
      </c>
      <c r="C52" s="11">
        <v>1</v>
      </c>
      <c r="D52" s="11">
        <v>5</v>
      </c>
      <c r="E52" s="1" t="b">
        <v>0</v>
      </c>
      <c r="F52" s="11">
        <v>1</v>
      </c>
      <c r="G52" s="11">
        <v>1</v>
      </c>
      <c r="H52" s="10">
        <v>0.16</v>
      </c>
    </row>
    <row r="53" spans="1:8" x14ac:dyDescent="0.3">
      <c r="A53" s="11">
        <v>52</v>
      </c>
      <c r="B53" s="13">
        <v>40546</v>
      </c>
      <c r="C53" s="11">
        <v>1</v>
      </c>
      <c r="D53" s="11">
        <v>6</v>
      </c>
      <c r="E53" s="1" t="b">
        <v>0</v>
      </c>
      <c r="F53" s="11">
        <v>1</v>
      </c>
      <c r="G53" s="11">
        <v>1</v>
      </c>
      <c r="H53" s="10">
        <v>0.14000000000000001</v>
      </c>
    </row>
    <row r="54" spans="1:8" x14ac:dyDescent="0.3">
      <c r="A54" s="11">
        <v>53</v>
      </c>
      <c r="B54" s="13">
        <v>40546</v>
      </c>
      <c r="C54" s="11">
        <v>1</v>
      </c>
      <c r="D54" s="11">
        <v>7</v>
      </c>
      <c r="E54" s="1" t="b">
        <v>0</v>
      </c>
      <c r="F54" s="11">
        <v>1</v>
      </c>
      <c r="G54" s="11">
        <v>1</v>
      </c>
      <c r="H54" s="10">
        <v>0.14000000000000001</v>
      </c>
    </row>
    <row r="55" spans="1:8" x14ac:dyDescent="0.3">
      <c r="A55" s="11">
        <v>54</v>
      </c>
      <c r="B55" s="13">
        <v>40546</v>
      </c>
      <c r="C55" s="11">
        <v>1</v>
      </c>
      <c r="D55" s="11">
        <v>8</v>
      </c>
      <c r="E55" s="1" t="b">
        <v>0</v>
      </c>
      <c r="F55" s="11">
        <v>1</v>
      </c>
      <c r="G55" s="11">
        <v>1</v>
      </c>
      <c r="H55" s="10">
        <v>0.14000000000000001</v>
      </c>
    </row>
    <row r="56" spans="1:8" x14ac:dyDescent="0.3">
      <c r="A56" s="11">
        <v>55</v>
      </c>
      <c r="B56" s="13">
        <v>40546</v>
      </c>
      <c r="C56" s="11">
        <v>1</v>
      </c>
      <c r="D56" s="11">
        <v>9</v>
      </c>
      <c r="E56" s="1" t="b">
        <v>0</v>
      </c>
      <c r="F56" s="11">
        <v>1</v>
      </c>
      <c r="G56" s="11">
        <v>1</v>
      </c>
      <c r="H56" s="10">
        <v>0.16</v>
      </c>
    </row>
    <row r="57" spans="1:8" x14ac:dyDescent="0.3">
      <c r="A57" s="11">
        <v>56</v>
      </c>
      <c r="B57" s="13">
        <v>40546</v>
      </c>
      <c r="C57" s="11">
        <v>1</v>
      </c>
      <c r="D57" s="11">
        <v>10</v>
      </c>
      <c r="E57" s="1" t="b">
        <v>0</v>
      </c>
      <c r="F57" s="11">
        <v>1</v>
      </c>
      <c r="G57" s="11">
        <v>1</v>
      </c>
      <c r="H57" s="10">
        <v>0.18</v>
      </c>
    </row>
    <row r="58" spans="1:8" x14ac:dyDescent="0.3">
      <c r="A58" s="11">
        <v>57</v>
      </c>
      <c r="B58" s="13">
        <v>40546</v>
      </c>
      <c r="C58" s="11">
        <v>1</v>
      </c>
      <c r="D58" s="11">
        <v>11</v>
      </c>
      <c r="E58" s="1" t="b">
        <v>0</v>
      </c>
      <c r="F58" s="11">
        <v>1</v>
      </c>
      <c r="G58" s="11">
        <v>1</v>
      </c>
      <c r="H58" s="10">
        <v>0.2</v>
      </c>
    </row>
    <row r="59" spans="1:8" x14ac:dyDescent="0.3">
      <c r="A59" s="11">
        <v>58</v>
      </c>
      <c r="B59" s="13">
        <v>40546</v>
      </c>
      <c r="C59" s="11">
        <v>1</v>
      </c>
      <c r="D59" s="11">
        <v>12</v>
      </c>
      <c r="E59" s="1" t="b">
        <v>0</v>
      </c>
      <c r="F59" s="11">
        <v>1</v>
      </c>
      <c r="G59" s="11">
        <v>1</v>
      </c>
      <c r="H59" s="10">
        <v>0.22</v>
      </c>
    </row>
    <row r="60" spans="1:8" x14ac:dyDescent="0.3">
      <c r="A60" s="11">
        <v>59</v>
      </c>
      <c r="B60" s="13">
        <v>40546</v>
      </c>
      <c r="C60" s="11">
        <v>1</v>
      </c>
      <c r="D60" s="11">
        <v>13</v>
      </c>
      <c r="E60" s="1" t="b">
        <v>0</v>
      </c>
      <c r="F60" s="11">
        <v>1</v>
      </c>
      <c r="G60" s="11">
        <v>1</v>
      </c>
      <c r="H60" s="10">
        <v>0.24</v>
      </c>
    </row>
    <row r="61" spans="1:8" x14ac:dyDescent="0.3">
      <c r="A61" s="11">
        <v>60</v>
      </c>
      <c r="B61" s="13">
        <v>40546</v>
      </c>
      <c r="C61" s="11">
        <v>1</v>
      </c>
      <c r="D61" s="11">
        <v>14</v>
      </c>
      <c r="E61" s="1" t="b">
        <v>0</v>
      </c>
      <c r="F61" s="11">
        <v>1</v>
      </c>
      <c r="G61" s="11">
        <v>1</v>
      </c>
      <c r="H61" s="10">
        <v>0.26</v>
      </c>
    </row>
    <row r="62" spans="1:8" x14ac:dyDescent="0.3">
      <c r="A62" s="11">
        <v>61</v>
      </c>
      <c r="B62" s="13">
        <v>40546</v>
      </c>
      <c r="C62" s="11">
        <v>1</v>
      </c>
      <c r="D62" s="11">
        <v>15</v>
      </c>
      <c r="E62" s="1" t="b">
        <v>0</v>
      </c>
      <c r="F62" s="11">
        <v>1</v>
      </c>
      <c r="G62" s="11">
        <v>1</v>
      </c>
      <c r="H62" s="10">
        <v>0.26</v>
      </c>
    </row>
    <row r="63" spans="1:8" x14ac:dyDescent="0.3">
      <c r="A63" s="11">
        <v>62</v>
      </c>
      <c r="B63" s="13">
        <v>40546</v>
      </c>
      <c r="C63" s="11">
        <v>1</v>
      </c>
      <c r="D63" s="11">
        <v>16</v>
      </c>
      <c r="E63" s="1" t="b">
        <v>0</v>
      </c>
      <c r="F63" s="11">
        <v>1</v>
      </c>
      <c r="G63" s="11">
        <v>1</v>
      </c>
      <c r="H63" s="10">
        <v>0.26</v>
      </c>
    </row>
    <row r="64" spans="1:8" x14ac:dyDescent="0.3">
      <c r="A64" s="11">
        <v>63</v>
      </c>
      <c r="B64" s="13">
        <v>40546</v>
      </c>
      <c r="C64" s="11">
        <v>1</v>
      </c>
      <c r="D64" s="11">
        <v>17</v>
      </c>
      <c r="E64" s="1" t="b">
        <v>0</v>
      </c>
      <c r="F64" s="11">
        <v>1</v>
      </c>
      <c r="G64" s="11">
        <v>1</v>
      </c>
      <c r="H64" s="10">
        <v>0.24</v>
      </c>
    </row>
    <row r="65" spans="1:8" x14ac:dyDescent="0.3">
      <c r="A65" s="11">
        <v>64</v>
      </c>
      <c r="B65" s="13">
        <v>40546</v>
      </c>
      <c r="C65" s="11">
        <v>1</v>
      </c>
      <c r="D65" s="11">
        <v>18</v>
      </c>
      <c r="E65" s="1" t="b">
        <v>0</v>
      </c>
      <c r="F65" s="11">
        <v>1</v>
      </c>
      <c r="G65" s="11">
        <v>1</v>
      </c>
      <c r="H65" s="10">
        <v>0.24</v>
      </c>
    </row>
    <row r="66" spans="1:8" x14ac:dyDescent="0.3">
      <c r="A66" s="11">
        <v>65</v>
      </c>
      <c r="B66" s="13">
        <v>40546</v>
      </c>
      <c r="C66" s="11">
        <v>1</v>
      </c>
      <c r="D66" s="11">
        <v>19</v>
      </c>
      <c r="E66" s="1" t="b">
        <v>0</v>
      </c>
      <c r="F66" s="11">
        <v>1</v>
      </c>
      <c r="G66" s="11">
        <v>1</v>
      </c>
      <c r="H66" s="10">
        <v>0.2</v>
      </c>
    </row>
    <row r="67" spans="1:8" x14ac:dyDescent="0.3">
      <c r="A67" s="11">
        <v>66</v>
      </c>
      <c r="B67" s="13">
        <v>40546</v>
      </c>
      <c r="C67" s="11">
        <v>1</v>
      </c>
      <c r="D67" s="11">
        <v>20</v>
      </c>
      <c r="E67" s="1" t="b">
        <v>0</v>
      </c>
      <c r="F67" s="11">
        <v>1</v>
      </c>
      <c r="G67" s="11">
        <v>1</v>
      </c>
      <c r="H67" s="10">
        <v>0.2</v>
      </c>
    </row>
    <row r="68" spans="1:8" x14ac:dyDescent="0.3">
      <c r="A68" s="11">
        <v>67</v>
      </c>
      <c r="B68" s="13">
        <v>40546</v>
      </c>
      <c r="C68" s="11">
        <v>1</v>
      </c>
      <c r="D68" s="11">
        <v>21</v>
      </c>
      <c r="E68" s="1" t="b">
        <v>0</v>
      </c>
      <c r="F68" s="11">
        <v>1</v>
      </c>
      <c r="G68" s="11">
        <v>1</v>
      </c>
      <c r="H68" s="10">
        <v>0.18</v>
      </c>
    </row>
    <row r="69" spans="1:8" x14ac:dyDescent="0.3">
      <c r="A69" s="11">
        <v>68</v>
      </c>
      <c r="B69" s="13">
        <v>40546</v>
      </c>
      <c r="C69" s="11">
        <v>1</v>
      </c>
      <c r="D69" s="11">
        <v>22</v>
      </c>
      <c r="E69" s="1" t="b">
        <v>0</v>
      </c>
      <c r="F69" s="11">
        <v>1</v>
      </c>
      <c r="G69" s="11">
        <v>1</v>
      </c>
      <c r="H69" s="10">
        <v>0.14000000000000001</v>
      </c>
    </row>
    <row r="70" spans="1:8" x14ac:dyDescent="0.3">
      <c r="A70" s="11">
        <v>69</v>
      </c>
      <c r="B70" s="13">
        <v>40546</v>
      </c>
      <c r="C70" s="11">
        <v>1</v>
      </c>
      <c r="D70" s="11">
        <v>23</v>
      </c>
      <c r="E70" s="1" t="b">
        <v>0</v>
      </c>
      <c r="F70" s="11">
        <v>1</v>
      </c>
      <c r="G70" s="11">
        <v>1</v>
      </c>
      <c r="H70" s="10">
        <v>0.18</v>
      </c>
    </row>
    <row r="71" spans="1:8" x14ac:dyDescent="0.3">
      <c r="A71" s="11">
        <v>70</v>
      </c>
      <c r="B71" s="13">
        <v>40547</v>
      </c>
      <c r="C71" s="11">
        <v>1</v>
      </c>
      <c r="D71" s="11">
        <v>0</v>
      </c>
      <c r="E71" s="1" t="b">
        <v>0</v>
      </c>
      <c r="F71" s="11">
        <v>2</v>
      </c>
      <c r="G71" s="11">
        <v>1</v>
      </c>
      <c r="H71" s="10">
        <v>0.16</v>
      </c>
    </row>
    <row r="72" spans="1:8" x14ac:dyDescent="0.3">
      <c r="A72" s="11">
        <v>71</v>
      </c>
      <c r="B72" s="13">
        <v>40547</v>
      </c>
      <c r="C72" s="11">
        <v>1</v>
      </c>
      <c r="D72" s="11">
        <v>1</v>
      </c>
      <c r="E72" s="1" t="b">
        <v>0</v>
      </c>
      <c r="F72" s="11">
        <v>2</v>
      </c>
      <c r="G72" s="11">
        <v>1</v>
      </c>
      <c r="H72" s="10">
        <v>0.16</v>
      </c>
    </row>
    <row r="73" spans="1:8" x14ac:dyDescent="0.3">
      <c r="A73" s="11">
        <v>72</v>
      </c>
      <c r="B73" s="13">
        <v>40547</v>
      </c>
      <c r="C73" s="11">
        <v>1</v>
      </c>
      <c r="D73" s="11">
        <v>2</v>
      </c>
      <c r="E73" s="1" t="b">
        <v>0</v>
      </c>
      <c r="F73" s="11">
        <v>2</v>
      </c>
      <c r="G73" s="11">
        <v>1</v>
      </c>
      <c r="H73" s="10">
        <v>0.14000000000000001</v>
      </c>
    </row>
    <row r="74" spans="1:8" x14ac:dyDescent="0.3">
      <c r="A74" s="11">
        <v>73</v>
      </c>
      <c r="B74" s="13">
        <v>40547</v>
      </c>
      <c r="C74" s="11">
        <v>1</v>
      </c>
      <c r="D74" s="11">
        <v>4</v>
      </c>
      <c r="E74" s="1" t="b">
        <v>0</v>
      </c>
      <c r="F74" s="11">
        <v>2</v>
      </c>
      <c r="G74" s="11">
        <v>1</v>
      </c>
      <c r="H74" s="10">
        <v>0.14000000000000001</v>
      </c>
    </row>
    <row r="75" spans="1:8" x14ac:dyDescent="0.3">
      <c r="A75" s="11">
        <v>74</v>
      </c>
      <c r="B75" s="13">
        <v>40547</v>
      </c>
      <c r="C75" s="11">
        <v>1</v>
      </c>
      <c r="D75" s="11">
        <v>5</v>
      </c>
      <c r="E75" s="1" t="b">
        <v>0</v>
      </c>
      <c r="F75" s="11">
        <v>2</v>
      </c>
      <c r="G75" s="11">
        <v>1</v>
      </c>
      <c r="H75" s="10">
        <v>0.12</v>
      </c>
    </row>
    <row r="76" spans="1:8" x14ac:dyDescent="0.3">
      <c r="A76" s="11">
        <v>75</v>
      </c>
      <c r="B76" s="13">
        <v>40547</v>
      </c>
      <c r="C76" s="11">
        <v>1</v>
      </c>
      <c r="D76" s="11">
        <v>6</v>
      </c>
      <c r="E76" s="1" t="b">
        <v>0</v>
      </c>
      <c r="F76" s="11">
        <v>2</v>
      </c>
      <c r="G76" s="11">
        <v>1</v>
      </c>
      <c r="H76" s="10">
        <v>0.12</v>
      </c>
    </row>
    <row r="77" spans="1:8" x14ac:dyDescent="0.3">
      <c r="A77" s="11">
        <v>76</v>
      </c>
      <c r="B77" s="13">
        <v>40547</v>
      </c>
      <c r="C77" s="11">
        <v>1</v>
      </c>
      <c r="D77" s="11">
        <v>7</v>
      </c>
      <c r="E77" s="1" t="b">
        <v>0</v>
      </c>
      <c r="F77" s="11">
        <v>2</v>
      </c>
      <c r="G77" s="11">
        <v>1</v>
      </c>
      <c r="H77" s="10">
        <v>0.12</v>
      </c>
    </row>
    <row r="78" spans="1:8" x14ac:dyDescent="0.3">
      <c r="A78" s="11">
        <v>77</v>
      </c>
      <c r="B78" s="13">
        <v>40547</v>
      </c>
      <c r="C78" s="11">
        <v>1</v>
      </c>
      <c r="D78" s="11">
        <v>8</v>
      </c>
      <c r="E78" s="1" t="b">
        <v>0</v>
      </c>
      <c r="F78" s="11">
        <v>2</v>
      </c>
      <c r="G78" s="11">
        <v>1</v>
      </c>
      <c r="H78" s="10">
        <v>0.14000000000000001</v>
      </c>
    </row>
    <row r="79" spans="1:8" x14ac:dyDescent="0.3">
      <c r="A79" s="11">
        <v>78</v>
      </c>
      <c r="B79" s="13">
        <v>40547</v>
      </c>
      <c r="C79" s="11">
        <v>1</v>
      </c>
      <c r="D79" s="11">
        <v>9</v>
      </c>
      <c r="E79" s="1" t="b">
        <v>0</v>
      </c>
      <c r="F79" s="11">
        <v>2</v>
      </c>
      <c r="G79" s="11">
        <v>1</v>
      </c>
      <c r="H79" s="10">
        <v>0.16</v>
      </c>
    </row>
    <row r="80" spans="1:8" x14ac:dyDescent="0.3">
      <c r="A80" s="11">
        <v>79</v>
      </c>
      <c r="B80" s="13">
        <v>40547</v>
      </c>
      <c r="C80" s="11">
        <v>1</v>
      </c>
      <c r="D80" s="11">
        <v>10</v>
      </c>
      <c r="E80" s="1" t="b">
        <v>0</v>
      </c>
      <c r="F80" s="11">
        <v>2</v>
      </c>
      <c r="G80" s="11">
        <v>2</v>
      </c>
      <c r="H80" s="10">
        <v>0.16</v>
      </c>
    </row>
    <row r="81" spans="1:8" x14ac:dyDescent="0.3">
      <c r="A81" s="11">
        <v>80</v>
      </c>
      <c r="B81" s="13">
        <v>40547</v>
      </c>
      <c r="C81" s="11">
        <v>1</v>
      </c>
      <c r="D81" s="11">
        <v>11</v>
      </c>
      <c r="E81" s="1" t="b">
        <v>0</v>
      </c>
      <c r="F81" s="11">
        <v>2</v>
      </c>
      <c r="G81" s="11">
        <v>1</v>
      </c>
      <c r="H81" s="10">
        <v>0.22</v>
      </c>
    </row>
    <row r="82" spans="1:8" x14ac:dyDescent="0.3">
      <c r="A82" s="11">
        <v>81</v>
      </c>
      <c r="B82" s="13">
        <v>40547</v>
      </c>
      <c r="C82" s="11">
        <v>1</v>
      </c>
      <c r="D82" s="11">
        <v>12</v>
      </c>
      <c r="E82" s="1" t="b">
        <v>0</v>
      </c>
      <c r="F82" s="11">
        <v>2</v>
      </c>
      <c r="G82" s="11">
        <v>1</v>
      </c>
      <c r="H82" s="10">
        <v>0.22</v>
      </c>
    </row>
    <row r="83" spans="1:8" x14ac:dyDescent="0.3">
      <c r="A83" s="11">
        <v>82</v>
      </c>
      <c r="B83" s="13">
        <v>40547</v>
      </c>
      <c r="C83" s="11">
        <v>1</v>
      </c>
      <c r="D83" s="11">
        <v>13</v>
      </c>
      <c r="E83" s="1" t="b">
        <v>0</v>
      </c>
      <c r="F83" s="11">
        <v>2</v>
      </c>
      <c r="G83" s="11">
        <v>1</v>
      </c>
      <c r="H83" s="10">
        <v>0.24</v>
      </c>
    </row>
    <row r="84" spans="1:8" x14ac:dyDescent="0.3">
      <c r="A84" s="11">
        <v>83</v>
      </c>
      <c r="B84" s="13">
        <v>40547</v>
      </c>
      <c r="C84" s="11">
        <v>1</v>
      </c>
      <c r="D84" s="11">
        <v>14</v>
      </c>
      <c r="E84" s="1" t="b">
        <v>0</v>
      </c>
      <c r="F84" s="11">
        <v>2</v>
      </c>
      <c r="G84" s="11">
        <v>1</v>
      </c>
      <c r="H84" s="10">
        <v>0.26</v>
      </c>
    </row>
    <row r="85" spans="1:8" x14ac:dyDescent="0.3">
      <c r="A85" s="11">
        <v>84</v>
      </c>
      <c r="B85" s="13">
        <v>40547</v>
      </c>
      <c r="C85" s="11">
        <v>1</v>
      </c>
      <c r="D85" s="11">
        <v>15</v>
      </c>
      <c r="E85" s="1" t="b">
        <v>0</v>
      </c>
      <c r="F85" s="11">
        <v>2</v>
      </c>
      <c r="G85" s="11">
        <v>1</v>
      </c>
      <c r="H85" s="10">
        <v>0.28000000000000003</v>
      </c>
    </row>
    <row r="86" spans="1:8" x14ac:dyDescent="0.3">
      <c r="A86" s="11">
        <v>85</v>
      </c>
      <c r="B86" s="13">
        <v>40547</v>
      </c>
      <c r="C86" s="11">
        <v>1</v>
      </c>
      <c r="D86" s="11">
        <v>16</v>
      </c>
      <c r="E86" s="1" t="b">
        <v>0</v>
      </c>
      <c r="F86" s="11">
        <v>2</v>
      </c>
      <c r="G86" s="11">
        <v>1</v>
      </c>
      <c r="H86" s="10">
        <v>0.3</v>
      </c>
    </row>
    <row r="87" spans="1:8" x14ac:dyDescent="0.3">
      <c r="A87" s="11">
        <v>86</v>
      </c>
      <c r="B87" s="13">
        <v>40547</v>
      </c>
      <c r="C87" s="11">
        <v>1</v>
      </c>
      <c r="D87" s="11">
        <v>17</v>
      </c>
      <c r="E87" s="1" t="b">
        <v>0</v>
      </c>
      <c r="F87" s="11">
        <v>2</v>
      </c>
      <c r="G87" s="11">
        <v>1</v>
      </c>
      <c r="H87" s="10">
        <v>0.28000000000000003</v>
      </c>
    </row>
    <row r="88" spans="1:8" x14ac:dyDescent="0.3">
      <c r="A88" s="11">
        <v>87</v>
      </c>
      <c r="B88" s="13">
        <v>40547</v>
      </c>
      <c r="C88" s="11">
        <v>1</v>
      </c>
      <c r="D88" s="11">
        <v>18</v>
      </c>
      <c r="E88" s="1" t="b">
        <v>0</v>
      </c>
      <c r="F88" s="11">
        <v>2</v>
      </c>
      <c r="G88" s="11">
        <v>1</v>
      </c>
      <c r="H88" s="10">
        <v>0.26</v>
      </c>
    </row>
    <row r="89" spans="1:8" x14ac:dyDescent="0.3">
      <c r="A89" s="11">
        <v>88</v>
      </c>
      <c r="B89" s="13">
        <v>40547</v>
      </c>
      <c r="C89" s="11">
        <v>1</v>
      </c>
      <c r="D89" s="11">
        <v>19</v>
      </c>
      <c r="E89" s="1" t="b">
        <v>0</v>
      </c>
      <c r="F89" s="11">
        <v>2</v>
      </c>
      <c r="G89" s="11">
        <v>1</v>
      </c>
      <c r="H89" s="10">
        <v>0.24</v>
      </c>
    </row>
    <row r="90" spans="1:8" x14ac:dyDescent="0.3">
      <c r="A90" s="11">
        <v>89</v>
      </c>
      <c r="B90" s="13">
        <v>40547</v>
      </c>
      <c r="C90" s="11">
        <v>1</v>
      </c>
      <c r="D90" s="11">
        <v>20</v>
      </c>
      <c r="E90" s="1" t="b">
        <v>0</v>
      </c>
      <c r="F90" s="11">
        <v>2</v>
      </c>
      <c r="G90" s="11">
        <v>1</v>
      </c>
      <c r="H90" s="10">
        <v>0.24</v>
      </c>
    </row>
    <row r="91" spans="1:8" x14ac:dyDescent="0.3">
      <c r="A91" s="11">
        <v>90</v>
      </c>
      <c r="B91" s="13">
        <v>40547</v>
      </c>
      <c r="C91" s="11">
        <v>1</v>
      </c>
      <c r="D91" s="11">
        <v>21</v>
      </c>
      <c r="E91" s="1" t="b">
        <v>0</v>
      </c>
      <c r="F91" s="11">
        <v>2</v>
      </c>
      <c r="G91" s="11">
        <v>1</v>
      </c>
      <c r="H91" s="10">
        <v>0.22</v>
      </c>
    </row>
    <row r="92" spans="1:8" x14ac:dyDescent="0.3">
      <c r="A92" s="11">
        <v>91</v>
      </c>
      <c r="B92" s="13">
        <v>40547</v>
      </c>
      <c r="C92" s="11">
        <v>1</v>
      </c>
      <c r="D92" s="11">
        <v>22</v>
      </c>
      <c r="E92" s="1" t="b">
        <v>0</v>
      </c>
      <c r="F92" s="11">
        <v>2</v>
      </c>
      <c r="G92" s="11">
        <v>1</v>
      </c>
      <c r="H92" s="10">
        <v>0.22</v>
      </c>
    </row>
    <row r="93" spans="1:8" x14ac:dyDescent="0.3">
      <c r="A93" s="11">
        <v>92</v>
      </c>
      <c r="B93" s="13">
        <v>40547</v>
      </c>
      <c r="C93" s="11">
        <v>1</v>
      </c>
      <c r="D93" s="11">
        <v>23</v>
      </c>
      <c r="E93" s="1" t="b">
        <v>0</v>
      </c>
      <c r="F93" s="11">
        <v>2</v>
      </c>
      <c r="G93" s="11">
        <v>1</v>
      </c>
      <c r="H93" s="10">
        <v>0.2</v>
      </c>
    </row>
    <row r="94" spans="1:8" x14ac:dyDescent="0.3">
      <c r="A94" s="11">
        <v>93</v>
      </c>
      <c r="B94" s="13">
        <v>40548</v>
      </c>
      <c r="C94" s="11">
        <v>1</v>
      </c>
      <c r="D94" s="11">
        <v>0</v>
      </c>
      <c r="E94" s="1" t="b">
        <v>0</v>
      </c>
      <c r="F94" s="11">
        <v>3</v>
      </c>
      <c r="G94" s="11">
        <v>1</v>
      </c>
      <c r="H94" s="10">
        <v>0.2</v>
      </c>
    </row>
    <row r="95" spans="1:8" x14ac:dyDescent="0.3">
      <c r="A95" s="11">
        <v>94</v>
      </c>
      <c r="B95" s="13">
        <v>40548</v>
      </c>
      <c r="C95" s="11">
        <v>1</v>
      </c>
      <c r="D95" s="11">
        <v>1</v>
      </c>
      <c r="E95" s="1" t="b">
        <v>0</v>
      </c>
      <c r="F95" s="11">
        <v>3</v>
      </c>
      <c r="G95" s="11">
        <v>1</v>
      </c>
      <c r="H95" s="10">
        <v>0.16</v>
      </c>
    </row>
    <row r="96" spans="1:8" x14ac:dyDescent="0.3">
      <c r="A96" s="11">
        <v>95</v>
      </c>
      <c r="B96" s="13">
        <v>40548</v>
      </c>
      <c r="C96" s="11">
        <v>1</v>
      </c>
      <c r="D96" s="11">
        <v>2</v>
      </c>
      <c r="E96" s="1" t="b">
        <v>0</v>
      </c>
      <c r="F96" s="11">
        <v>3</v>
      </c>
      <c r="G96" s="11">
        <v>1</v>
      </c>
      <c r="H96" s="10">
        <v>0.16</v>
      </c>
    </row>
    <row r="97" spans="1:8" x14ac:dyDescent="0.3">
      <c r="A97" s="11">
        <v>96</v>
      </c>
      <c r="B97" s="13">
        <v>40548</v>
      </c>
      <c r="C97" s="11">
        <v>1</v>
      </c>
      <c r="D97" s="11">
        <v>4</v>
      </c>
      <c r="E97" s="1" t="b">
        <v>0</v>
      </c>
      <c r="F97" s="11">
        <v>3</v>
      </c>
      <c r="G97" s="11">
        <v>1</v>
      </c>
      <c r="H97" s="10">
        <v>0.24</v>
      </c>
    </row>
    <row r="98" spans="1:8" x14ac:dyDescent="0.3">
      <c r="A98" s="11">
        <v>97</v>
      </c>
      <c r="B98" s="13">
        <v>40548</v>
      </c>
      <c r="C98" s="11">
        <v>1</v>
      </c>
      <c r="D98" s="11">
        <v>5</v>
      </c>
      <c r="E98" s="1" t="b">
        <v>0</v>
      </c>
      <c r="F98" s="11">
        <v>3</v>
      </c>
      <c r="G98" s="11">
        <v>1</v>
      </c>
      <c r="H98" s="10">
        <v>0.22</v>
      </c>
    </row>
    <row r="99" spans="1:8" x14ac:dyDescent="0.3">
      <c r="A99" s="11">
        <v>98</v>
      </c>
      <c r="B99" s="13">
        <v>40548</v>
      </c>
      <c r="C99" s="11">
        <v>1</v>
      </c>
      <c r="D99" s="11">
        <v>6</v>
      </c>
      <c r="E99" s="1" t="b">
        <v>0</v>
      </c>
      <c r="F99" s="11">
        <v>3</v>
      </c>
      <c r="G99" s="11">
        <v>1</v>
      </c>
      <c r="H99" s="10">
        <v>0.2</v>
      </c>
    </row>
    <row r="100" spans="1:8" x14ac:dyDescent="0.3">
      <c r="A100" s="11">
        <v>99</v>
      </c>
      <c r="B100" s="13">
        <v>40548</v>
      </c>
      <c r="C100" s="11">
        <v>1</v>
      </c>
      <c r="D100" s="11">
        <v>7</v>
      </c>
      <c r="E100" s="1" t="b">
        <v>0</v>
      </c>
      <c r="F100" s="11">
        <v>3</v>
      </c>
      <c r="G100" s="11">
        <v>1</v>
      </c>
      <c r="H100" s="10">
        <v>0.18</v>
      </c>
    </row>
    <row r="101" spans="1:8" x14ac:dyDescent="0.3">
      <c r="A101" s="11">
        <v>100</v>
      </c>
      <c r="B101" s="13">
        <v>40548</v>
      </c>
      <c r="C101" s="11">
        <v>1</v>
      </c>
      <c r="D101" s="11">
        <v>8</v>
      </c>
      <c r="E101" s="1" t="b">
        <v>0</v>
      </c>
      <c r="F101" s="11">
        <v>3</v>
      </c>
      <c r="G101" s="11">
        <v>1</v>
      </c>
      <c r="H101" s="10">
        <v>0.2</v>
      </c>
    </row>
    <row r="102" spans="1:8" x14ac:dyDescent="0.3">
      <c r="A102" s="11">
        <v>101</v>
      </c>
      <c r="B102" s="13">
        <v>40548</v>
      </c>
      <c r="C102" s="11">
        <v>1</v>
      </c>
      <c r="D102" s="11">
        <v>9</v>
      </c>
      <c r="E102" s="1" t="b">
        <v>0</v>
      </c>
      <c r="F102" s="11">
        <v>3</v>
      </c>
      <c r="G102" s="11">
        <v>1</v>
      </c>
      <c r="H102" s="10">
        <v>0.22</v>
      </c>
    </row>
    <row r="103" spans="1:8" x14ac:dyDescent="0.3">
      <c r="A103" s="11">
        <v>102</v>
      </c>
      <c r="B103" s="13">
        <v>40548</v>
      </c>
      <c r="C103" s="11">
        <v>1</v>
      </c>
      <c r="D103" s="11">
        <v>10</v>
      </c>
      <c r="E103" s="1" t="b">
        <v>0</v>
      </c>
      <c r="F103" s="11">
        <v>3</v>
      </c>
      <c r="G103" s="11">
        <v>1</v>
      </c>
      <c r="H103" s="10">
        <v>0.22</v>
      </c>
    </row>
    <row r="104" spans="1:8" x14ac:dyDescent="0.3">
      <c r="A104" s="11">
        <v>103</v>
      </c>
      <c r="B104" s="13">
        <v>40548</v>
      </c>
      <c r="C104" s="11">
        <v>1</v>
      </c>
      <c r="D104" s="11">
        <v>11</v>
      </c>
      <c r="E104" s="1" t="b">
        <v>0</v>
      </c>
      <c r="F104" s="11">
        <v>3</v>
      </c>
      <c r="G104" s="11">
        <v>1</v>
      </c>
      <c r="H104" s="10">
        <v>0.26</v>
      </c>
    </row>
    <row r="105" spans="1:8" x14ac:dyDescent="0.3">
      <c r="A105" s="11">
        <v>104</v>
      </c>
      <c r="B105" s="13">
        <v>40548</v>
      </c>
      <c r="C105" s="11">
        <v>1</v>
      </c>
      <c r="D105" s="11">
        <v>12</v>
      </c>
      <c r="E105" s="1" t="b">
        <v>0</v>
      </c>
      <c r="F105" s="11">
        <v>3</v>
      </c>
      <c r="G105" s="11">
        <v>1</v>
      </c>
      <c r="H105" s="10">
        <v>0.26</v>
      </c>
    </row>
    <row r="106" spans="1:8" x14ac:dyDescent="0.3">
      <c r="A106" s="11">
        <v>105</v>
      </c>
      <c r="B106" s="13">
        <v>40548</v>
      </c>
      <c r="C106" s="11">
        <v>1</v>
      </c>
      <c r="D106" s="11">
        <v>13</v>
      </c>
      <c r="E106" s="1" t="b">
        <v>0</v>
      </c>
      <c r="F106" s="11">
        <v>3</v>
      </c>
      <c r="G106" s="11">
        <v>1</v>
      </c>
      <c r="H106" s="10">
        <v>0.28000000000000003</v>
      </c>
    </row>
    <row r="107" spans="1:8" x14ac:dyDescent="0.3">
      <c r="A107" s="11">
        <v>106</v>
      </c>
      <c r="B107" s="13">
        <v>40548</v>
      </c>
      <c r="C107" s="11">
        <v>1</v>
      </c>
      <c r="D107" s="11">
        <v>14</v>
      </c>
      <c r="E107" s="1" t="b">
        <v>0</v>
      </c>
      <c r="F107" s="11">
        <v>3</v>
      </c>
      <c r="G107" s="11">
        <v>1</v>
      </c>
      <c r="H107" s="10">
        <v>0.3</v>
      </c>
    </row>
    <row r="108" spans="1:8" x14ac:dyDescent="0.3">
      <c r="A108" s="11">
        <v>107</v>
      </c>
      <c r="B108" s="13">
        <v>40548</v>
      </c>
      <c r="C108" s="11">
        <v>1</v>
      </c>
      <c r="D108" s="11">
        <v>15</v>
      </c>
      <c r="E108" s="1" t="b">
        <v>0</v>
      </c>
      <c r="F108" s="11">
        <v>3</v>
      </c>
      <c r="G108" s="11">
        <v>1</v>
      </c>
      <c r="H108" s="10">
        <v>0.3</v>
      </c>
    </row>
    <row r="109" spans="1:8" x14ac:dyDescent="0.3">
      <c r="A109" s="11">
        <v>108</v>
      </c>
      <c r="B109" s="13">
        <v>40548</v>
      </c>
      <c r="C109" s="11">
        <v>1</v>
      </c>
      <c r="D109" s="11">
        <v>16</v>
      </c>
      <c r="E109" s="1" t="b">
        <v>0</v>
      </c>
      <c r="F109" s="11">
        <v>3</v>
      </c>
      <c r="G109" s="11">
        <v>1</v>
      </c>
      <c r="H109" s="10">
        <v>0.3</v>
      </c>
    </row>
    <row r="110" spans="1:8" x14ac:dyDescent="0.3">
      <c r="A110" s="11">
        <v>109</v>
      </c>
      <c r="B110" s="13">
        <v>40548</v>
      </c>
      <c r="C110" s="11">
        <v>1</v>
      </c>
      <c r="D110" s="11">
        <v>17</v>
      </c>
      <c r="E110" s="1" t="b">
        <v>0</v>
      </c>
      <c r="F110" s="11">
        <v>3</v>
      </c>
      <c r="G110" s="11">
        <v>1</v>
      </c>
      <c r="H110" s="10">
        <v>0.24</v>
      </c>
    </row>
    <row r="111" spans="1:8" x14ac:dyDescent="0.3">
      <c r="A111" s="11">
        <v>110</v>
      </c>
      <c r="B111" s="13">
        <v>40548</v>
      </c>
      <c r="C111" s="11">
        <v>1</v>
      </c>
      <c r="D111" s="11">
        <v>18</v>
      </c>
      <c r="E111" s="1" t="b">
        <v>0</v>
      </c>
      <c r="F111" s="11">
        <v>3</v>
      </c>
      <c r="G111" s="11">
        <v>1</v>
      </c>
      <c r="H111" s="10">
        <v>0.24</v>
      </c>
    </row>
    <row r="112" spans="1:8" x14ac:dyDescent="0.3">
      <c r="A112" s="11">
        <v>111</v>
      </c>
      <c r="B112" s="13">
        <v>40548</v>
      </c>
      <c r="C112" s="11">
        <v>1</v>
      </c>
      <c r="D112" s="11">
        <v>19</v>
      </c>
      <c r="E112" s="1" t="b">
        <v>0</v>
      </c>
      <c r="F112" s="11">
        <v>3</v>
      </c>
      <c r="G112" s="11">
        <v>1</v>
      </c>
      <c r="H112" s="10">
        <v>0.24</v>
      </c>
    </row>
    <row r="113" spans="1:8" x14ac:dyDescent="0.3">
      <c r="A113" s="11">
        <v>112</v>
      </c>
      <c r="B113" s="13">
        <v>40548</v>
      </c>
      <c r="C113" s="11">
        <v>1</v>
      </c>
      <c r="D113" s="11">
        <v>20</v>
      </c>
      <c r="E113" s="1" t="b">
        <v>0</v>
      </c>
      <c r="F113" s="11">
        <v>3</v>
      </c>
      <c r="G113" s="11">
        <v>1</v>
      </c>
      <c r="H113" s="10">
        <v>0.22</v>
      </c>
    </row>
    <row r="114" spans="1:8" x14ac:dyDescent="0.3">
      <c r="A114" s="11">
        <v>113</v>
      </c>
      <c r="B114" s="13">
        <v>40548</v>
      </c>
      <c r="C114" s="11">
        <v>1</v>
      </c>
      <c r="D114" s="11">
        <v>21</v>
      </c>
      <c r="E114" s="1" t="b">
        <v>0</v>
      </c>
      <c r="F114" s="11">
        <v>3</v>
      </c>
      <c r="G114" s="11">
        <v>1</v>
      </c>
      <c r="H114" s="10">
        <v>0.2</v>
      </c>
    </row>
    <row r="115" spans="1:8" x14ac:dyDescent="0.3">
      <c r="A115" s="11">
        <v>114</v>
      </c>
      <c r="B115" s="13">
        <v>40548</v>
      </c>
      <c r="C115" s="11">
        <v>1</v>
      </c>
      <c r="D115" s="11">
        <v>22</v>
      </c>
      <c r="E115" s="1" t="b">
        <v>0</v>
      </c>
      <c r="F115" s="11">
        <v>3</v>
      </c>
      <c r="G115" s="11">
        <v>1</v>
      </c>
      <c r="H115" s="10">
        <v>0.18</v>
      </c>
    </row>
    <row r="116" spans="1:8" x14ac:dyDescent="0.3">
      <c r="A116" s="11">
        <v>115</v>
      </c>
      <c r="B116" s="13">
        <v>40548</v>
      </c>
      <c r="C116" s="11">
        <v>1</v>
      </c>
      <c r="D116" s="11">
        <v>23</v>
      </c>
      <c r="E116" s="1" t="b">
        <v>0</v>
      </c>
      <c r="F116" s="11">
        <v>3</v>
      </c>
      <c r="G116" s="11">
        <v>1</v>
      </c>
      <c r="H116" s="10">
        <v>0.2</v>
      </c>
    </row>
    <row r="117" spans="1:8" x14ac:dyDescent="0.3">
      <c r="A117" s="11">
        <v>116</v>
      </c>
      <c r="B117" s="13">
        <v>40549</v>
      </c>
      <c r="C117" s="11">
        <v>1</v>
      </c>
      <c r="D117" s="11">
        <v>0</v>
      </c>
      <c r="E117" s="1" t="b">
        <v>0</v>
      </c>
      <c r="F117" s="11">
        <v>4</v>
      </c>
      <c r="G117" s="11">
        <v>1</v>
      </c>
      <c r="H117" s="10">
        <v>0.18</v>
      </c>
    </row>
    <row r="118" spans="1:8" x14ac:dyDescent="0.3">
      <c r="A118" s="11">
        <v>117</v>
      </c>
      <c r="B118" s="13">
        <v>40549</v>
      </c>
      <c r="C118" s="11">
        <v>1</v>
      </c>
      <c r="D118" s="11">
        <v>1</v>
      </c>
      <c r="E118" s="1" t="b">
        <v>0</v>
      </c>
      <c r="F118" s="11">
        <v>4</v>
      </c>
      <c r="G118" s="11">
        <v>1</v>
      </c>
      <c r="H118" s="10">
        <v>0.16</v>
      </c>
    </row>
    <row r="119" spans="1:8" x14ac:dyDescent="0.3">
      <c r="A119" s="11">
        <v>118</v>
      </c>
      <c r="B119" s="13">
        <v>40549</v>
      </c>
      <c r="C119" s="11">
        <v>1</v>
      </c>
      <c r="D119" s="11">
        <v>2</v>
      </c>
      <c r="E119" s="1" t="b">
        <v>0</v>
      </c>
      <c r="F119" s="11">
        <v>4</v>
      </c>
      <c r="G119" s="11">
        <v>1</v>
      </c>
      <c r="H119" s="10">
        <v>0.16</v>
      </c>
    </row>
    <row r="120" spans="1:8" x14ac:dyDescent="0.3">
      <c r="A120" s="11">
        <v>119</v>
      </c>
      <c r="B120" s="13">
        <v>40549</v>
      </c>
      <c r="C120" s="11">
        <v>1</v>
      </c>
      <c r="D120" s="11">
        <v>4</v>
      </c>
      <c r="E120" s="1" t="b">
        <v>0</v>
      </c>
      <c r="F120" s="11">
        <v>4</v>
      </c>
      <c r="G120" s="11">
        <v>2</v>
      </c>
      <c r="H120" s="10">
        <v>0.16</v>
      </c>
    </row>
    <row r="121" spans="1:8" x14ac:dyDescent="0.3">
      <c r="A121" s="11">
        <v>120</v>
      </c>
      <c r="B121" s="13">
        <v>40549</v>
      </c>
      <c r="C121" s="11">
        <v>1</v>
      </c>
      <c r="D121" s="11">
        <v>5</v>
      </c>
      <c r="E121" s="1" t="b">
        <v>0</v>
      </c>
      <c r="F121" s="11">
        <v>4</v>
      </c>
      <c r="G121" s="11">
        <v>2</v>
      </c>
      <c r="H121" s="10">
        <v>0.14000000000000001</v>
      </c>
    </row>
    <row r="122" spans="1:8" x14ac:dyDescent="0.3">
      <c r="A122" s="11">
        <v>121</v>
      </c>
      <c r="B122" s="13">
        <v>40549</v>
      </c>
      <c r="C122" s="11">
        <v>1</v>
      </c>
      <c r="D122" s="11">
        <v>6</v>
      </c>
      <c r="E122" s="1" t="b">
        <v>0</v>
      </c>
      <c r="F122" s="11">
        <v>4</v>
      </c>
      <c r="G122" s="11">
        <v>2</v>
      </c>
      <c r="H122" s="10">
        <v>0.14000000000000001</v>
      </c>
    </row>
    <row r="123" spans="1:8" x14ac:dyDescent="0.3">
      <c r="A123" s="11">
        <v>122</v>
      </c>
      <c r="B123" s="13">
        <v>40549</v>
      </c>
      <c r="C123" s="11">
        <v>1</v>
      </c>
      <c r="D123" s="11">
        <v>7</v>
      </c>
      <c r="E123" s="1" t="b">
        <v>0</v>
      </c>
      <c r="F123" s="11">
        <v>4</v>
      </c>
      <c r="G123" s="11">
        <v>2</v>
      </c>
      <c r="H123" s="10">
        <v>0.16</v>
      </c>
    </row>
    <row r="124" spans="1:8" x14ac:dyDescent="0.3">
      <c r="A124" s="11">
        <v>123</v>
      </c>
      <c r="B124" s="13">
        <v>40549</v>
      </c>
      <c r="C124" s="11">
        <v>1</v>
      </c>
      <c r="D124" s="11">
        <v>8</v>
      </c>
      <c r="E124" s="1" t="b">
        <v>0</v>
      </c>
      <c r="F124" s="11">
        <v>4</v>
      </c>
      <c r="G124" s="11">
        <v>1</v>
      </c>
      <c r="H124" s="10">
        <v>0.16</v>
      </c>
    </row>
    <row r="125" spans="1:8" x14ac:dyDescent="0.3">
      <c r="A125" s="11">
        <v>124</v>
      </c>
      <c r="B125" s="13">
        <v>40549</v>
      </c>
      <c r="C125" s="11">
        <v>1</v>
      </c>
      <c r="D125" s="11">
        <v>9</v>
      </c>
      <c r="E125" s="1" t="b">
        <v>0</v>
      </c>
      <c r="F125" s="11">
        <v>4</v>
      </c>
      <c r="G125" s="11">
        <v>2</v>
      </c>
      <c r="H125" s="10">
        <v>0.18</v>
      </c>
    </row>
    <row r="126" spans="1:8" x14ac:dyDescent="0.3">
      <c r="A126" s="11">
        <v>125</v>
      </c>
      <c r="B126" s="13">
        <v>40549</v>
      </c>
      <c r="C126" s="11">
        <v>1</v>
      </c>
      <c r="D126" s="11">
        <v>10</v>
      </c>
      <c r="E126" s="1" t="b">
        <v>0</v>
      </c>
      <c r="F126" s="11">
        <v>4</v>
      </c>
      <c r="G126" s="11">
        <v>1</v>
      </c>
      <c r="H126" s="10">
        <v>0.2</v>
      </c>
    </row>
    <row r="127" spans="1:8" x14ac:dyDescent="0.3">
      <c r="A127" s="11">
        <v>126</v>
      </c>
      <c r="B127" s="13">
        <v>40549</v>
      </c>
      <c r="C127" s="11">
        <v>1</v>
      </c>
      <c r="D127" s="11">
        <v>11</v>
      </c>
      <c r="E127" s="1" t="b">
        <v>0</v>
      </c>
      <c r="F127" s="11">
        <v>4</v>
      </c>
      <c r="G127" s="11">
        <v>1</v>
      </c>
      <c r="H127" s="10">
        <v>0.22</v>
      </c>
    </row>
    <row r="128" spans="1:8" x14ac:dyDescent="0.3">
      <c r="A128" s="11">
        <v>127</v>
      </c>
      <c r="B128" s="13">
        <v>40549</v>
      </c>
      <c r="C128" s="11">
        <v>1</v>
      </c>
      <c r="D128" s="11">
        <v>12</v>
      </c>
      <c r="E128" s="1" t="b">
        <v>0</v>
      </c>
      <c r="F128" s="11">
        <v>4</v>
      </c>
      <c r="G128" s="11">
        <v>1</v>
      </c>
      <c r="H128" s="10">
        <v>0.26</v>
      </c>
    </row>
    <row r="129" spans="1:8" x14ac:dyDescent="0.3">
      <c r="A129" s="11">
        <v>128</v>
      </c>
      <c r="B129" s="13">
        <v>40549</v>
      </c>
      <c r="C129" s="11">
        <v>1</v>
      </c>
      <c r="D129" s="11">
        <v>13</v>
      </c>
      <c r="E129" s="1" t="b">
        <v>0</v>
      </c>
      <c r="F129" s="11">
        <v>4</v>
      </c>
      <c r="G129" s="11">
        <v>1</v>
      </c>
      <c r="H129" s="10">
        <v>0.26</v>
      </c>
    </row>
    <row r="130" spans="1:8" x14ac:dyDescent="0.3">
      <c r="A130" s="11">
        <v>129</v>
      </c>
      <c r="B130" s="13">
        <v>40549</v>
      </c>
      <c r="C130" s="11">
        <v>1</v>
      </c>
      <c r="D130" s="11">
        <v>14</v>
      </c>
      <c r="E130" s="1" t="b">
        <v>0</v>
      </c>
      <c r="F130" s="11">
        <v>4</v>
      </c>
      <c r="G130" s="11">
        <v>1</v>
      </c>
      <c r="H130" s="10">
        <v>0.28000000000000003</v>
      </c>
    </row>
    <row r="131" spans="1:8" x14ac:dyDescent="0.3">
      <c r="A131" s="11">
        <v>130</v>
      </c>
      <c r="B131" s="13">
        <v>40549</v>
      </c>
      <c r="C131" s="11">
        <v>1</v>
      </c>
      <c r="D131" s="11">
        <v>15</v>
      </c>
      <c r="E131" s="1" t="b">
        <v>0</v>
      </c>
      <c r="F131" s="11">
        <v>4</v>
      </c>
      <c r="G131" s="11">
        <v>1</v>
      </c>
      <c r="H131" s="10">
        <v>0.28000000000000003</v>
      </c>
    </row>
    <row r="132" spans="1:8" x14ac:dyDescent="0.3">
      <c r="A132" s="11">
        <v>131</v>
      </c>
      <c r="B132" s="13">
        <v>40549</v>
      </c>
      <c r="C132" s="11">
        <v>1</v>
      </c>
      <c r="D132" s="11">
        <v>16</v>
      </c>
      <c r="E132" s="1" t="b">
        <v>0</v>
      </c>
      <c r="F132" s="11">
        <v>4</v>
      </c>
      <c r="G132" s="11">
        <v>1</v>
      </c>
      <c r="H132" s="10">
        <v>0.26</v>
      </c>
    </row>
    <row r="133" spans="1:8" x14ac:dyDescent="0.3">
      <c r="A133" s="11">
        <v>132</v>
      </c>
      <c r="B133" s="13">
        <v>40549</v>
      </c>
      <c r="C133" s="11">
        <v>1</v>
      </c>
      <c r="D133" s="11">
        <v>17</v>
      </c>
      <c r="E133" s="1" t="b">
        <v>0</v>
      </c>
      <c r="F133" s="11">
        <v>4</v>
      </c>
      <c r="G133" s="11">
        <v>1</v>
      </c>
      <c r="H133" s="10">
        <v>0.22</v>
      </c>
    </row>
    <row r="134" spans="1:8" x14ac:dyDescent="0.3">
      <c r="A134" s="11">
        <v>133</v>
      </c>
      <c r="B134" s="13">
        <v>40549</v>
      </c>
      <c r="C134" s="11">
        <v>1</v>
      </c>
      <c r="D134" s="11">
        <v>18</v>
      </c>
      <c r="E134" s="1" t="b">
        <v>0</v>
      </c>
      <c r="F134" s="11">
        <v>4</v>
      </c>
      <c r="G134" s="11">
        <v>1</v>
      </c>
      <c r="H134" s="10">
        <v>0.22</v>
      </c>
    </row>
    <row r="135" spans="1:8" x14ac:dyDescent="0.3">
      <c r="A135" s="11">
        <v>134</v>
      </c>
      <c r="B135" s="13">
        <v>40549</v>
      </c>
      <c r="C135" s="11">
        <v>1</v>
      </c>
      <c r="D135" s="11">
        <v>19</v>
      </c>
      <c r="E135" s="1" t="b">
        <v>0</v>
      </c>
      <c r="F135" s="11">
        <v>4</v>
      </c>
      <c r="G135" s="11">
        <v>1</v>
      </c>
      <c r="H135" s="10">
        <v>0.22</v>
      </c>
    </row>
    <row r="136" spans="1:8" x14ac:dyDescent="0.3">
      <c r="A136" s="11">
        <v>135</v>
      </c>
      <c r="B136" s="13">
        <v>40549</v>
      </c>
      <c r="C136" s="11">
        <v>1</v>
      </c>
      <c r="D136" s="11">
        <v>20</v>
      </c>
      <c r="E136" s="1" t="b">
        <v>0</v>
      </c>
      <c r="F136" s="11">
        <v>4</v>
      </c>
      <c r="G136" s="11">
        <v>1</v>
      </c>
      <c r="H136" s="10">
        <v>0.2</v>
      </c>
    </row>
    <row r="137" spans="1:8" x14ac:dyDescent="0.3">
      <c r="A137" s="11">
        <v>136</v>
      </c>
      <c r="B137" s="13">
        <v>40549</v>
      </c>
      <c r="C137" s="11">
        <v>1</v>
      </c>
      <c r="D137" s="11">
        <v>21</v>
      </c>
      <c r="E137" s="1" t="b">
        <v>0</v>
      </c>
      <c r="F137" s="11">
        <v>4</v>
      </c>
      <c r="G137" s="11">
        <v>2</v>
      </c>
      <c r="H137" s="10">
        <v>0.22</v>
      </c>
    </row>
    <row r="138" spans="1:8" x14ac:dyDescent="0.3">
      <c r="A138" s="11">
        <v>137</v>
      </c>
      <c r="B138" s="13">
        <v>40549</v>
      </c>
      <c r="C138" s="11">
        <v>1</v>
      </c>
      <c r="D138" s="11">
        <v>22</v>
      </c>
      <c r="E138" s="1" t="b">
        <v>0</v>
      </c>
      <c r="F138" s="11">
        <v>4</v>
      </c>
      <c r="G138" s="11">
        <v>2</v>
      </c>
      <c r="H138" s="10">
        <v>0.22</v>
      </c>
    </row>
    <row r="139" spans="1:8" x14ac:dyDescent="0.3">
      <c r="A139" s="11">
        <v>138</v>
      </c>
      <c r="B139" s="13">
        <v>40549</v>
      </c>
      <c r="C139" s="11">
        <v>1</v>
      </c>
      <c r="D139" s="11">
        <v>23</v>
      </c>
      <c r="E139" s="1" t="b">
        <v>0</v>
      </c>
      <c r="F139" s="11">
        <v>4</v>
      </c>
      <c r="G139" s="11">
        <v>2</v>
      </c>
      <c r="H139" s="10">
        <v>0.2</v>
      </c>
    </row>
    <row r="140" spans="1:8" x14ac:dyDescent="0.3">
      <c r="A140" s="11">
        <v>139</v>
      </c>
      <c r="B140" s="13">
        <v>40550</v>
      </c>
      <c r="C140" s="11">
        <v>1</v>
      </c>
      <c r="D140" s="11">
        <v>0</v>
      </c>
      <c r="E140" s="1" t="b">
        <v>0</v>
      </c>
      <c r="F140" s="11">
        <v>5</v>
      </c>
      <c r="G140" s="11">
        <v>2</v>
      </c>
      <c r="H140" s="10">
        <v>0.2</v>
      </c>
    </row>
    <row r="141" spans="1:8" x14ac:dyDescent="0.3">
      <c r="A141" s="11">
        <v>140</v>
      </c>
      <c r="B141" s="13">
        <v>40550</v>
      </c>
      <c r="C141" s="11">
        <v>1</v>
      </c>
      <c r="D141" s="11">
        <v>1</v>
      </c>
      <c r="E141" s="1" t="b">
        <v>0</v>
      </c>
      <c r="F141" s="11">
        <v>5</v>
      </c>
      <c r="G141" s="11">
        <v>2</v>
      </c>
      <c r="H141" s="10">
        <v>0.2</v>
      </c>
    </row>
    <row r="142" spans="1:8" x14ac:dyDescent="0.3">
      <c r="A142" s="11">
        <v>141</v>
      </c>
      <c r="B142" s="13">
        <v>40550</v>
      </c>
      <c r="C142" s="11">
        <v>1</v>
      </c>
      <c r="D142" s="11">
        <v>2</v>
      </c>
      <c r="E142" s="1" t="b">
        <v>0</v>
      </c>
      <c r="F142" s="11">
        <v>5</v>
      </c>
      <c r="G142" s="11">
        <v>2</v>
      </c>
      <c r="H142" s="10">
        <v>0.2</v>
      </c>
    </row>
    <row r="143" spans="1:8" x14ac:dyDescent="0.3">
      <c r="A143" s="11">
        <v>142</v>
      </c>
      <c r="B143" s="13">
        <v>40550</v>
      </c>
      <c r="C143" s="11">
        <v>1</v>
      </c>
      <c r="D143" s="11">
        <v>4</v>
      </c>
      <c r="E143" s="1" t="b">
        <v>0</v>
      </c>
      <c r="F143" s="11">
        <v>5</v>
      </c>
      <c r="G143" s="11">
        <v>2</v>
      </c>
      <c r="H143" s="10">
        <v>0.2</v>
      </c>
    </row>
    <row r="144" spans="1:8" x14ac:dyDescent="0.3">
      <c r="A144" s="11">
        <v>143</v>
      </c>
      <c r="B144" s="13">
        <v>40550</v>
      </c>
      <c r="C144" s="11">
        <v>1</v>
      </c>
      <c r="D144" s="11">
        <v>5</v>
      </c>
      <c r="E144" s="1" t="b">
        <v>0</v>
      </c>
      <c r="F144" s="11">
        <v>5</v>
      </c>
      <c r="G144" s="11">
        <v>3</v>
      </c>
      <c r="H144" s="10">
        <v>0.22</v>
      </c>
    </row>
    <row r="145" spans="1:8" x14ac:dyDescent="0.3">
      <c r="A145" s="11">
        <v>144</v>
      </c>
      <c r="B145" s="13">
        <v>40550</v>
      </c>
      <c r="C145" s="11">
        <v>1</v>
      </c>
      <c r="D145" s="11">
        <v>6</v>
      </c>
      <c r="E145" s="1" t="b">
        <v>0</v>
      </c>
      <c r="F145" s="11">
        <v>5</v>
      </c>
      <c r="G145" s="11">
        <v>2</v>
      </c>
      <c r="H145" s="10">
        <v>0.2</v>
      </c>
    </row>
    <row r="146" spans="1:8" x14ac:dyDescent="0.3">
      <c r="A146" s="11">
        <v>145</v>
      </c>
      <c r="B146" s="13">
        <v>40550</v>
      </c>
      <c r="C146" s="11">
        <v>1</v>
      </c>
      <c r="D146" s="11">
        <v>7</v>
      </c>
      <c r="E146" s="1" t="b">
        <v>0</v>
      </c>
      <c r="F146" s="11">
        <v>5</v>
      </c>
      <c r="G146" s="11">
        <v>1</v>
      </c>
      <c r="H146" s="10">
        <v>0.2</v>
      </c>
    </row>
    <row r="147" spans="1:8" x14ac:dyDescent="0.3">
      <c r="A147" s="11">
        <v>146</v>
      </c>
      <c r="B147" s="13">
        <v>40550</v>
      </c>
      <c r="C147" s="11">
        <v>1</v>
      </c>
      <c r="D147" s="11">
        <v>8</v>
      </c>
      <c r="E147" s="1" t="b">
        <v>0</v>
      </c>
      <c r="F147" s="11">
        <v>5</v>
      </c>
      <c r="G147" s="11">
        <v>1</v>
      </c>
      <c r="H147" s="10">
        <v>0.2</v>
      </c>
    </row>
    <row r="148" spans="1:8" x14ac:dyDescent="0.3">
      <c r="A148" s="11">
        <v>147</v>
      </c>
      <c r="B148" s="13">
        <v>40550</v>
      </c>
      <c r="C148" s="11">
        <v>1</v>
      </c>
      <c r="D148" s="11">
        <v>9</v>
      </c>
      <c r="E148" s="1" t="b">
        <v>0</v>
      </c>
      <c r="F148" s="11">
        <v>5</v>
      </c>
      <c r="G148" s="11">
        <v>1</v>
      </c>
      <c r="H148" s="10">
        <v>0.2</v>
      </c>
    </row>
    <row r="149" spans="1:8" x14ac:dyDescent="0.3">
      <c r="A149" s="11">
        <v>148</v>
      </c>
      <c r="B149" s="13">
        <v>40550</v>
      </c>
      <c r="C149" s="11">
        <v>1</v>
      </c>
      <c r="D149" s="11">
        <v>10</v>
      </c>
      <c r="E149" s="1" t="b">
        <v>0</v>
      </c>
      <c r="F149" s="11">
        <v>5</v>
      </c>
      <c r="G149" s="11">
        <v>1</v>
      </c>
      <c r="H149" s="10">
        <v>0.22</v>
      </c>
    </row>
    <row r="150" spans="1:8" x14ac:dyDescent="0.3">
      <c r="A150" s="11">
        <v>149</v>
      </c>
      <c r="B150" s="13">
        <v>40550</v>
      </c>
      <c r="C150" s="11">
        <v>1</v>
      </c>
      <c r="D150" s="11">
        <v>11</v>
      </c>
      <c r="E150" s="1" t="b">
        <v>0</v>
      </c>
      <c r="F150" s="11">
        <v>5</v>
      </c>
      <c r="G150" s="11">
        <v>2</v>
      </c>
      <c r="H150" s="10">
        <v>0.2</v>
      </c>
    </row>
    <row r="151" spans="1:8" x14ac:dyDescent="0.3">
      <c r="A151" s="11">
        <v>150</v>
      </c>
      <c r="B151" s="13">
        <v>40550</v>
      </c>
      <c r="C151" s="11">
        <v>1</v>
      </c>
      <c r="D151" s="11">
        <v>12</v>
      </c>
      <c r="E151" s="1" t="b">
        <v>0</v>
      </c>
      <c r="F151" s="11">
        <v>5</v>
      </c>
      <c r="G151" s="11">
        <v>2</v>
      </c>
      <c r="H151" s="10">
        <v>0.2</v>
      </c>
    </row>
    <row r="152" spans="1:8" x14ac:dyDescent="0.3">
      <c r="A152" s="11">
        <v>151</v>
      </c>
      <c r="B152" s="13">
        <v>40550</v>
      </c>
      <c r="C152" s="11">
        <v>1</v>
      </c>
      <c r="D152" s="11">
        <v>13</v>
      </c>
      <c r="E152" s="1" t="b">
        <v>0</v>
      </c>
      <c r="F152" s="11">
        <v>5</v>
      </c>
      <c r="G152" s="11">
        <v>2</v>
      </c>
      <c r="H152" s="10">
        <v>0.2</v>
      </c>
    </row>
    <row r="153" spans="1:8" x14ac:dyDescent="0.3">
      <c r="A153" s="11">
        <v>152</v>
      </c>
      <c r="B153" s="13">
        <v>40550</v>
      </c>
      <c r="C153" s="11">
        <v>1</v>
      </c>
      <c r="D153" s="11">
        <v>14</v>
      </c>
      <c r="E153" s="1" t="b">
        <v>0</v>
      </c>
      <c r="F153" s="11">
        <v>5</v>
      </c>
      <c r="G153" s="11">
        <v>2</v>
      </c>
      <c r="H153" s="10">
        <v>0.2</v>
      </c>
    </row>
    <row r="154" spans="1:8" x14ac:dyDescent="0.3">
      <c r="A154" s="11">
        <v>153</v>
      </c>
      <c r="B154" s="13">
        <v>40550</v>
      </c>
      <c r="C154" s="11">
        <v>1</v>
      </c>
      <c r="D154" s="11">
        <v>15</v>
      </c>
      <c r="E154" s="1" t="b">
        <v>0</v>
      </c>
      <c r="F154" s="11">
        <v>5</v>
      </c>
      <c r="G154" s="11">
        <v>2</v>
      </c>
      <c r="H154" s="10">
        <v>0.2</v>
      </c>
    </row>
    <row r="155" spans="1:8" x14ac:dyDescent="0.3">
      <c r="A155" s="11">
        <v>154</v>
      </c>
      <c r="B155" s="13">
        <v>40550</v>
      </c>
      <c r="C155" s="11">
        <v>1</v>
      </c>
      <c r="D155" s="11">
        <v>16</v>
      </c>
      <c r="E155" s="1" t="b">
        <v>0</v>
      </c>
      <c r="F155" s="11">
        <v>5</v>
      </c>
      <c r="G155" s="11">
        <v>2</v>
      </c>
      <c r="H155" s="10">
        <v>0.2</v>
      </c>
    </row>
    <row r="156" spans="1:8" x14ac:dyDescent="0.3">
      <c r="A156" s="11">
        <v>155</v>
      </c>
      <c r="B156" s="13">
        <v>40550</v>
      </c>
      <c r="C156" s="11">
        <v>1</v>
      </c>
      <c r="D156" s="11">
        <v>17</v>
      </c>
      <c r="E156" s="1" t="b">
        <v>0</v>
      </c>
      <c r="F156" s="11">
        <v>5</v>
      </c>
      <c r="G156" s="11">
        <v>2</v>
      </c>
      <c r="H156" s="10">
        <v>0.2</v>
      </c>
    </row>
    <row r="157" spans="1:8" x14ac:dyDescent="0.3">
      <c r="A157" s="11">
        <v>156</v>
      </c>
      <c r="B157" s="13">
        <v>40550</v>
      </c>
      <c r="C157" s="11">
        <v>1</v>
      </c>
      <c r="D157" s="11">
        <v>18</v>
      </c>
      <c r="E157" s="1" t="b">
        <v>0</v>
      </c>
      <c r="F157" s="11">
        <v>5</v>
      </c>
      <c r="G157" s="11">
        <v>1</v>
      </c>
      <c r="H157" s="10">
        <v>0.2</v>
      </c>
    </row>
    <row r="158" spans="1:8" x14ac:dyDescent="0.3">
      <c r="A158" s="11">
        <v>157</v>
      </c>
      <c r="B158" s="13">
        <v>40550</v>
      </c>
      <c r="C158" s="11">
        <v>1</v>
      </c>
      <c r="D158" s="11">
        <v>19</v>
      </c>
      <c r="E158" s="1" t="b">
        <v>0</v>
      </c>
      <c r="F158" s="11">
        <v>5</v>
      </c>
      <c r="G158" s="11">
        <v>1</v>
      </c>
      <c r="H158" s="10">
        <v>0.16</v>
      </c>
    </row>
    <row r="159" spans="1:8" x14ac:dyDescent="0.3">
      <c r="A159" s="11">
        <v>158</v>
      </c>
      <c r="B159" s="13">
        <v>40550</v>
      </c>
      <c r="C159" s="11">
        <v>1</v>
      </c>
      <c r="D159" s="11">
        <v>20</v>
      </c>
      <c r="E159" s="1" t="b">
        <v>0</v>
      </c>
      <c r="F159" s="11">
        <v>5</v>
      </c>
      <c r="G159" s="11">
        <v>1</v>
      </c>
      <c r="H159" s="10">
        <v>0.18</v>
      </c>
    </row>
    <row r="160" spans="1:8" x14ac:dyDescent="0.3">
      <c r="A160" s="11">
        <v>159</v>
      </c>
      <c r="B160" s="13">
        <v>40550</v>
      </c>
      <c r="C160" s="11">
        <v>1</v>
      </c>
      <c r="D160" s="11">
        <v>21</v>
      </c>
      <c r="E160" s="1" t="b">
        <v>0</v>
      </c>
      <c r="F160" s="11">
        <v>5</v>
      </c>
      <c r="G160" s="11">
        <v>1</v>
      </c>
      <c r="H160" s="10">
        <v>0.18</v>
      </c>
    </row>
    <row r="161" spans="1:8" x14ac:dyDescent="0.3">
      <c r="A161" s="11">
        <v>160</v>
      </c>
      <c r="B161" s="13">
        <v>40550</v>
      </c>
      <c r="C161" s="11">
        <v>1</v>
      </c>
      <c r="D161" s="11">
        <v>22</v>
      </c>
      <c r="E161" s="1" t="b">
        <v>0</v>
      </c>
      <c r="F161" s="11">
        <v>5</v>
      </c>
      <c r="G161" s="11">
        <v>2</v>
      </c>
      <c r="H161" s="10">
        <v>0.18</v>
      </c>
    </row>
    <row r="162" spans="1:8" x14ac:dyDescent="0.3">
      <c r="A162" s="11">
        <v>161</v>
      </c>
      <c r="B162" s="13">
        <v>40550</v>
      </c>
      <c r="C162" s="11">
        <v>1</v>
      </c>
      <c r="D162" s="11">
        <v>23</v>
      </c>
      <c r="E162" s="1" t="b">
        <v>0</v>
      </c>
      <c r="F162" s="11">
        <v>5</v>
      </c>
      <c r="G162" s="11">
        <v>2</v>
      </c>
      <c r="H162" s="10">
        <v>0.18</v>
      </c>
    </row>
    <row r="163" spans="1:8" x14ac:dyDescent="0.3">
      <c r="A163" s="11">
        <v>162</v>
      </c>
      <c r="B163" s="13">
        <v>40551</v>
      </c>
      <c r="C163" s="11">
        <v>1</v>
      </c>
      <c r="D163" s="11">
        <v>0</v>
      </c>
      <c r="E163" s="1" t="b">
        <v>0</v>
      </c>
      <c r="F163" s="11">
        <v>6</v>
      </c>
      <c r="G163" s="11">
        <v>2</v>
      </c>
      <c r="H163" s="10">
        <v>0.18</v>
      </c>
    </row>
    <row r="164" spans="1:8" x14ac:dyDescent="0.3">
      <c r="A164" s="11">
        <v>163</v>
      </c>
      <c r="B164" s="13">
        <v>40551</v>
      </c>
      <c r="C164" s="11">
        <v>1</v>
      </c>
      <c r="D164" s="11">
        <v>1</v>
      </c>
      <c r="E164" s="1" t="b">
        <v>0</v>
      </c>
      <c r="F164" s="11">
        <v>6</v>
      </c>
      <c r="G164" s="11">
        <v>2</v>
      </c>
      <c r="H164" s="10">
        <v>0.18</v>
      </c>
    </row>
    <row r="165" spans="1:8" x14ac:dyDescent="0.3">
      <c r="A165" s="11">
        <v>164</v>
      </c>
      <c r="B165" s="13">
        <v>40551</v>
      </c>
      <c r="C165" s="11">
        <v>1</v>
      </c>
      <c r="D165" s="11">
        <v>2</v>
      </c>
      <c r="E165" s="1" t="b">
        <v>0</v>
      </c>
      <c r="F165" s="11">
        <v>6</v>
      </c>
      <c r="G165" s="11">
        <v>2</v>
      </c>
      <c r="H165" s="10">
        <v>0.18</v>
      </c>
    </row>
    <row r="166" spans="1:8" x14ac:dyDescent="0.3">
      <c r="A166" s="11">
        <v>165</v>
      </c>
      <c r="B166" s="13">
        <v>40551</v>
      </c>
      <c r="C166" s="11">
        <v>1</v>
      </c>
      <c r="D166" s="11">
        <v>3</v>
      </c>
      <c r="E166" s="1" t="b">
        <v>0</v>
      </c>
      <c r="F166" s="11">
        <v>6</v>
      </c>
      <c r="G166" s="11">
        <v>3</v>
      </c>
      <c r="H166" s="10">
        <v>0.18</v>
      </c>
    </row>
    <row r="167" spans="1:8" x14ac:dyDescent="0.3">
      <c r="A167" s="11">
        <v>166</v>
      </c>
      <c r="B167" s="13">
        <v>40551</v>
      </c>
      <c r="C167" s="11">
        <v>1</v>
      </c>
      <c r="D167" s="11">
        <v>4</v>
      </c>
      <c r="E167" s="1" t="b">
        <v>0</v>
      </c>
      <c r="F167" s="11">
        <v>6</v>
      </c>
      <c r="G167" s="11">
        <v>3</v>
      </c>
      <c r="H167" s="10">
        <v>0.18</v>
      </c>
    </row>
    <row r="168" spans="1:8" x14ac:dyDescent="0.3">
      <c r="A168" s="11">
        <v>167</v>
      </c>
      <c r="B168" s="13">
        <v>40551</v>
      </c>
      <c r="C168" s="11">
        <v>1</v>
      </c>
      <c r="D168" s="11">
        <v>5</v>
      </c>
      <c r="E168" s="1" t="b">
        <v>0</v>
      </c>
      <c r="F168" s="11">
        <v>6</v>
      </c>
      <c r="G168" s="11">
        <v>2</v>
      </c>
      <c r="H168" s="10">
        <v>0.16</v>
      </c>
    </row>
    <row r="169" spans="1:8" x14ac:dyDescent="0.3">
      <c r="A169" s="11">
        <v>168</v>
      </c>
      <c r="B169" s="13">
        <v>40551</v>
      </c>
      <c r="C169" s="11">
        <v>1</v>
      </c>
      <c r="D169" s="11">
        <v>6</v>
      </c>
      <c r="E169" s="1" t="b">
        <v>0</v>
      </c>
      <c r="F169" s="11">
        <v>6</v>
      </c>
      <c r="G169" s="11">
        <v>2</v>
      </c>
      <c r="H169" s="10">
        <v>0.16</v>
      </c>
    </row>
    <row r="170" spans="1:8" x14ac:dyDescent="0.3">
      <c r="A170" s="11">
        <v>169</v>
      </c>
      <c r="B170" s="13">
        <v>40551</v>
      </c>
      <c r="C170" s="11">
        <v>1</v>
      </c>
      <c r="D170" s="11">
        <v>7</v>
      </c>
      <c r="E170" s="1" t="b">
        <v>0</v>
      </c>
      <c r="F170" s="11">
        <v>6</v>
      </c>
      <c r="G170" s="11">
        <v>2</v>
      </c>
      <c r="H170" s="10">
        <v>0.16</v>
      </c>
    </row>
    <row r="171" spans="1:8" x14ac:dyDescent="0.3">
      <c r="A171" s="11">
        <v>170</v>
      </c>
      <c r="B171" s="13">
        <v>40551</v>
      </c>
      <c r="C171" s="11">
        <v>1</v>
      </c>
      <c r="D171" s="11">
        <v>8</v>
      </c>
      <c r="E171" s="1" t="b">
        <v>0</v>
      </c>
      <c r="F171" s="11">
        <v>6</v>
      </c>
      <c r="G171" s="11">
        <v>3</v>
      </c>
      <c r="H171" s="10">
        <v>0.16</v>
      </c>
    </row>
    <row r="172" spans="1:8" x14ac:dyDescent="0.3">
      <c r="A172" s="11">
        <v>171</v>
      </c>
      <c r="B172" s="13">
        <v>40551</v>
      </c>
      <c r="C172" s="11">
        <v>1</v>
      </c>
      <c r="D172" s="11">
        <v>9</v>
      </c>
      <c r="E172" s="1" t="b">
        <v>0</v>
      </c>
      <c r="F172" s="11">
        <v>6</v>
      </c>
      <c r="G172" s="11">
        <v>3</v>
      </c>
      <c r="H172" s="10">
        <v>0.16</v>
      </c>
    </row>
    <row r="173" spans="1:8" x14ac:dyDescent="0.3">
      <c r="A173" s="11">
        <v>172</v>
      </c>
      <c r="B173" s="13">
        <v>40551</v>
      </c>
      <c r="C173" s="11">
        <v>1</v>
      </c>
      <c r="D173" s="11">
        <v>10</v>
      </c>
      <c r="E173" s="1" t="b">
        <v>0</v>
      </c>
      <c r="F173" s="11">
        <v>6</v>
      </c>
      <c r="G173" s="11">
        <v>2</v>
      </c>
      <c r="H173" s="10">
        <v>0.18</v>
      </c>
    </row>
    <row r="174" spans="1:8" x14ac:dyDescent="0.3">
      <c r="A174" s="11">
        <v>173</v>
      </c>
      <c r="B174" s="13">
        <v>40551</v>
      </c>
      <c r="C174" s="11">
        <v>1</v>
      </c>
      <c r="D174" s="11">
        <v>11</v>
      </c>
      <c r="E174" s="1" t="b">
        <v>0</v>
      </c>
      <c r="F174" s="11">
        <v>6</v>
      </c>
      <c r="G174" s="11">
        <v>2</v>
      </c>
      <c r="H174" s="10">
        <v>0.2</v>
      </c>
    </row>
    <row r="175" spans="1:8" x14ac:dyDescent="0.3">
      <c r="A175" s="11">
        <v>174</v>
      </c>
      <c r="B175" s="13">
        <v>40551</v>
      </c>
      <c r="C175" s="11">
        <v>1</v>
      </c>
      <c r="D175" s="11">
        <v>12</v>
      </c>
      <c r="E175" s="1" t="b">
        <v>0</v>
      </c>
      <c r="F175" s="11">
        <v>6</v>
      </c>
      <c r="G175" s="11">
        <v>2</v>
      </c>
      <c r="H175" s="10">
        <v>0.2</v>
      </c>
    </row>
    <row r="176" spans="1:8" x14ac:dyDescent="0.3">
      <c r="A176" s="11">
        <v>175</v>
      </c>
      <c r="B176" s="13">
        <v>40551</v>
      </c>
      <c r="C176" s="11">
        <v>1</v>
      </c>
      <c r="D176" s="11">
        <v>13</v>
      </c>
      <c r="E176" s="1" t="b">
        <v>0</v>
      </c>
      <c r="F176" s="11">
        <v>6</v>
      </c>
      <c r="G176" s="11">
        <v>1</v>
      </c>
      <c r="H176" s="10">
        <v>0.2</v>
      </c>
    </row>
    <row r="177" spans="1:8" x14ac:dyDescent="0.3">
      <c r="A177" s="11">
        <v>176</v>
      </c>
      <c r="B177" s="13">
        <v>40551</v>
      </c>
      <c r="C177" s="11">
        <v>1</v>
      </c>
      <c r="D177" s="11">
        <v>14</v>
      </c>
      <c r="E177" s="1" t="b">
        <v>0</v>
      </c>
      <c r="F177" s="11">
        <v>6</v>
      </c>
      <c r="G177" s="11">
        <v>1</v>
      </c>
      <c r="H177" s="10">
        <v>0.2</v>
      </c>
    </row>
    <row r="178" spans="1:8" x14ac:dyDescent="0.3">
      <c r="A178" s="11">
        <v>177</v>
      </c>
      <c r="B178" s="13">
        <v>40551</v>
      </c>
      <c r="C178" s="11">
        <v>1</v>
      </c>
      <c r="D178" s="11">
        <v>15</v>
      </c>
      <c r="E178" s="1" t="b">
        <v>0</v>
      </c>
      <c r="F178" s="11">
        <v>6</v>
      </c>
      <c r="G178" s="11">
        <v>1</v>
      </c>
      <c r="H178" s="10">
        <v>0.2</v>
      </c>
    </row>
    <row r="179" spans="1:8" x14ac:dyDescent="0.3">
      <c r="A179" s="11">
        <v>178</v>
      </c>
      <c r="B179" s="13">
        <v>40551</v>
      </c>
      <c r="C179" s="11">
        <v>1</v>
      </c>
      <c r="D179" s="11">
        <v>16</v>
      </c>
      <c r="E179" s="1" t="b">
        <v>0</v>
      </c>
      <c r="F179" s="11">
        <v>6</v>
      </c>
      <c r="G179" s="11">
        <v>1</v>
      </c>
      <c r="H179" s="10">
        <v>0.18</v>
      </c>
    </row>
    <row r="180" spans="1:8" x14ac:dyDescent="0.3">
      <c r="A180" s="11">
        <v>179</v>
      </c>
      <c r="B180" s="13">
        <v>40551</v>
      </c>
      <c r="C180" s="11">
        <v>1</v>
      </c>
      <c r="D180" s="11">
        <v>17</v>
      </c>
      <c r="E180" s="1" t="b">
        <v>0</v>
      </c>
      <c r="F180" s="11">
        <v>6</v>
      </c>
      <c r="G180" s="11">
        <v>1</v>
      </c>
      <c r="H180" s="10">
        <v>0.16</v>
      </c>
    </row>
    <row r="181" spans="1:8" x14ac:dyDescent="0.3">
      <c r="A181" s="11">
        <v>180</v>
      </c>
      <c r="B181" s="13">
        <v>40551</v>
      </c>
      <c r="C181" s="11">
        <v>1</v>
      </c>
      <c r="D181" s="11">
        <v>18</v>
      </c>
      <c r="E181" s="1" t="b">
        <v>0</v>
      </c>
      <c r="F181" s="11">
        <v>6</v>
      </c>
      <c r="G181" s="11">
        <v>1</v>
      </c>
      <c r="H181" s="10">
        <v>0.14000000000000001</v>
      </c>
    </row>
    <row r="182" spans="1:8" x14ac:dyDescent="0.3">
      <c r="A182" s="11">
        <v>181</v>
      </c>
      <c r="B182" s="13">
        <v>40551</v>
      </c>
      <c r="C182" s="11">
        <v>1</v>
      </c>
      <c r="D182" s="11">
        <v>19</v>
      </c>
      <c r="E182" s="1" t="b">
        <v>0</v>
      </c>
      <c r="F182" s="11">
        <v>6</v>
      </c>
      <c r="G182" s="11">
        <v>1</v>
      </c>
      <c r="H182" s="10">
        <v>0.14000000000000001</v>
      </c>
    </row>
    <row r="183" spans="1:8" x14ac:dyDescent="0.3">
      <c r="A183" s="11">
        <v>182</v>
      </c>
      <c r="B183" s="13">
        <v>40551</v>
      </c>
      <c r="C183" s="11">
        <v>1</v>
      </c>
      <c r="D183" s="11">
        <v>20</v>
      </c>
      <c r="E183" s="1" t="b">
        <v>0</v>
      </c>
      <c r="F183" s="11">
        <v>6</v>
      </c>
      <c r="G183" s="11">
        <v>1</v>
      </c>
      <c r="H183" s="10">
        <v>0.12</v>
      </c>
    </row>
    <row r="184" spans="1:8" x14ac:dyDescent="0.3">
      <c r="A184" s="11">
        <v>183</v>
      </c>
      <c r="B184" s="13">
        <v>40551</v>
      </c>
      <c r="C184" s="11">
        <v>1</v>
      </c>
      <c r="D184" s="11">
        <v>21</v>
      </c>
      <c r="E184" s="1" t="b">
        <v>0</v>
      </c>
      <c r="F184" s="11">
        <v>6</v>
      </c>
      <c r="G184" s="11">
        <v>1</v>
      </c>
      <c r="H184" s="10">
        <v>0.12</v>
      </c>
    </row>
    <row r="185" spans="1:8" x14ac:dyDescent="0.3">
      <c r="A185" s="11">
        <v>184</v>
      </c>
      <c r="B185" s="13">
        <v>40551</v>
      </c>
      <c r="C185" s="11">
        <v>1</v>
      </c>
      <c r="D185" s="11">
        <v>22</v>
      </c>
      <c r="E185" s="1" t="b">
        <v>0</v>
      </c>
      <c r="F185" s="11">
        <v>6</v>
      </c>
      <c r="G185" s="11">
        <v>1</v>
      </c>
      <c r="H185" s="10">
        <v>0.12</v>
      </c>
    </row>
    <row r="186" spans="1:8" x14ac:dyDescent="0.3">
      <c r="A186" s="11">
        <v>185</v>
      </c>
      <c r="B186" s="13">
        <v>40551</v>
      </c>
      <c r="C186" s="11">
        <v>1</v>
      </c>
      <c r="D186" s="11">
        <v>23</v>
      </c>
      <c r="E186" s="1" t="b">
        <v>0</v>
      </c>
      <c r="F186" s="11">
        <v>6</v>
      </c>
      <c r="G186" s="11">
        <v>1</v>
      </c>
      <c r="H186" s="10">
        <v>0.1</v>
      </c>
    </row>
    <row r="187" spans="1:8" x14ac:dyDescent="0.3">
      <c r="A187" s="11">
        <v>186</v>
      </c>
      <c r="B187" s="13">
        <v>40552</v>
      </c>
      <c r="C187" s="11">
        <v>1</v>
      </c>
      <c r="D187" s="11">
        <v>0</v>
      </c>
      <c r="E187" s="1" t="b">
        <v>0</v>
      </c>
      <c r="F187" s="11">
        <v>0</v>
      </c>
      <c r="G187" s="11">
        <v>1</v>
      </c>
      <c r="H187" s="10">
        <v>0.1</v>
      </c>
    </row>
    <row r="188" spans="1:8" x14ac:dyDescent="0.3">
      <c r="A188" s="11">
        <v>187</v>
      </c>
      <c r="B188" s="13">
        <v>40552</v>
      </c>
      <c r="C188" s="11">
        <v>1</v>
      </c>
      <c r="D188" s="11">
        <v>1</v>
      </c>
      <c r="E188" s="1" t="b">
        <v>0</v>
      </c>
      <c r="F188" s="11">
        <v>0</v>
      </c>
      <c r="G188" s="11">
        <v>1</v>
      </c>
      <c r="H188" s="10">
        <v>0.1</v>
      </c>
    </row>
    <row r="189" spans="1:8" x14ac:dyDescent="0.3">
      <c r="A189" s="11">
        <v>188</v>
      </c>
      <c r="B189" s="13">
        <v>40552</v>
      </c>
      <c r="C189" s="11">
        <v>1</v>
      </c>
      <c r="D189" s="11">
        <v>2</v>
      </c>
      <c r="E189" s="1" t="b">
        <v>0</v>
      </c>
      <c r="F189" s="11">
        <v>0</v>
      </c>
      <c r="G189" s="11">
        <v>1</v>
      </c>
      <c r="H189" s="10">
        <v>0.1</v>
      </c>
    </row>
    <row r="190" spans="1:8" x14ac:dyDescent="0.3">
      <c r="A190" s="11">
        <v>189</v>
      </c>
      <c r="B190" s="13">
        <v>40552</v>
      </c>
      <c r="C190" s="11">
        <v>1</v>
      </c>
      <c r="D190" s="11">
        <v>3</v>
      </c>
      <c r="E190" s="1" t="b">
        <v>0</v>
      </c>
      <c r="F190" s="11">
        <v>0</v>
      </c>
      <c r="G190" s="11">
        <v>1</v>
      </c>
      <c r="H190" s="10">
        <v>0.1</v>
      </c>
    </row>
    <row r="191" spans="1:8" x14ac:dyDescent="0.3">
      <c r="A191" s="11">
        <v>190</v>
      </c>
      <c r="B191" s="13">
        <v>40552</v>
      </c>
      <c r="C191" s="11">
        <v>1</v>
      </c>
      <c r="D191" s="11">
        <v>4</v>
      </c>
      <c r="E191" s="1" t="b">
        <v>0</v>
      </c>
      <c r="F191" s="11">
        <v>0</v>
      </c>
      <c r="G191" s="11">
        <v>1</v>
      </c>
      <c r="H191" s="10">
        <v>0.08</v>
      </c>
    </row>
    <row r="192" spans="1:8" x14ac:dyDescent="0.3">
      <c r="A192" s="11">
        <v>191</v>
      </c>
      <c r="B192" s="13">
        <v>40552</v>
      </c>
      <c r="C192" s="11">
        <v>1</v>
      </c>
      <c r="D192" s="11">
        <v>5</v>
      </c>
      <c r="E192" s="1" t="b">
        <v>0</v>
      </c>
      <c r="F192" s="11">
        <v>0</v>
      </c>
      <c r="G192" s="11">
        <v>1</v>
      </c>
      <c r="H192" s="10">
        <v>0.08</v>
      </c>
    </row>
    <row r="193" spans="1:8" x14ac:dyDescent="0.3">
      <c r="A193" s="11">
        <v>192</v>
      </c>
      <c r="B193" s="13">
        <v>40552</v>
      </c>
      <c r="C193" s="11">
        <v>1</v>
      </c>
      <c r="D193" s="11">
        <v>6</v>
      </c>
      <c r="E193" s="1" t="b">
        <v>0</v>
      </c>
      <c r="F193" s="11">
        <v>0</v>
      </c>
      <c r="G193" s="11">
        <v>1</v>
      </c>
      <c r="H193" s="10">
        <v>0.1</v>
      </c>
    </row>
    <row r="194" spans="1:8" x14ac:dyDescent="0.3">
      <c r="A194" s="11">
        <v>193</v>
      </c>
      <c r="B194" s="13">
        <v>40552</v>
      </c>
      <c r="C194" s="11">
        <v>1</v>
      </c>
      <c r="D194" s="11">
        <v>7</v>
      </c>
      <c r="E194" s="1" t="b">
        <v>0</v>
      </c>
      <c r="F194" s="11">
        <v>0</v>
      </c>
      <c r="G194" s="11">
        <v>1</v>
      </c>
      <c r="H194" s="10">
        <v>0.08</v>
      </c>
    </row>
    <row r="195" spans="1:8" x14ac:dyDescent="0.3">
      <c r="A195" s="11">
        <v>194</v>
      </c>
      <c r="B195" s="13">
        <v>40552</v>
      </c>
      <c r="C195" s="11">
        <v>1</v>
      </c>
      <c r="D195" s="11">
        <v>8</v>
      </c>
      <c r="E195" s="1" t="b">
        <v>0</v>
      </c>
      <c r="F195" s="11">
        <v>0</v>
      </c>
      <c r="G195" s="11">
        <v>1</v>
      </c>
      <c r="H195" s="10">
        <v>0.1</v>
      </c>
    </row>
    <row r="196" spans="1:8" x14ac:dyDescent="0.3">
      <c r="A196" s="11">
        <v>195</v>
      </c>
      <c r="B196" s="13">
        <v>40552</v>
      </c>
      <c r="C196" s="11">
        <v>1</v>
      </c>
      <c r="D196" s="11">
        <v>9</v>
      </c>
      <c r="E196" s="1" t="b">
        <v>0</v>
      </c>
      <c r="F196" s="11">
        <v>0</v>
      </c>
      <c r="G196" s="11">
        <v>1</v>
      </c>
      <c r="H196" s="10">
        <v>0.12</v>
      </c>
    </row>
    <row r="197" spans="1:8" x14ac:dyDescent="0.3">
      <c r="A197" s="11">
        <v>196</v>
      </c>
      <c r="B197" s="13">
        <v>40552</v>
      </c>
      <c r="C197" s="11">
        <v>1</v>
      </c>
      <c r="D197" s="11">
        <v>10</v>
      </c>
      <c r="E197" s="1" t="b">
        <v>0</v>
      </c>
      <c r="F197" s="11">
        <v>0</v>
      </c>
      <c r="G197" s="11">
        <v>1</v>
      </c>
      <c r="H197" s="10">
        <v>0.14000000000000001</v>
      </c>
    </row>
    <row r="198" spans="1:8" x14ac:dyDescent="0.3">
      <c r="A198" s="11">
        <v>197</v>
      </c>
      <c r="B198" s="13">
        <v>40552</v>
      </c>
      <c r="C198" s="11">
        <v>1</v>
      </c>
      <c r="D198" s="11">
        <v>11</v>
      </c>
      <c r="E198" s="1" t="b">
        <v>0</v>
      </c>
      <c r="F198" s="11">
        <v>0</v>
      </c>
      <c r="G198" s="11">
        <v>1</v>
      </c>
      <c r="H198" s="10">
        <v>0.16</v>
      </c>
    </row>
    <row r="199" spans="1:8" x14ac:dyDescent="0.3">
      <c r="A199" s="11">
        <v>198</v>
      </c>
      <c r="B199" s="13">
        <v>40552</v>
      </c>
      <c r="C199" s="11">
        <v>1</v>
      </c>
      <c r="D199" s="11">
        <v>12</v>
      </c>
      <c r="E199" s="1" t="b">
        <v>0</v>
      </c>
      <c r="F199" s="11">
        <v>0</v>
      </c>
      <c r="G199" s="11">
        <v>1</v>
      </c>
      <c r="H199" s="10">
        <v>0.18</v>
      </c>
    </row>
    <row r="200" spans="1:8" x14ac:dyDescent="0.3">
      <c r="A200" s="11">
        <v>199</v>
      </c>
      <c r="B200" s="13">
        <v>40552</v>
      </c>
      <c r="C200" s="11">
        <v>1</v>
      </c>
      <c r="D200" s="11">
        <v>13</v>
      </c>
      <c r="E200" s="1" t="b">
        <v>0</v>
      </c>
      <c r="F200" s="11">
        <v>0</v>
      </c>
      <c r="G200" s="11">
        <v>1</v>
      </c>
      <c r="H200" s="10">
        <v>0.2</v>
      </c>
    </row>
    <row r="201" spans="1:8" x14ac:dyDescent="0.3">
      <c r="A201" s="11">
        <v>200</v>
      </c>
      <c r="B201" s="13">
        <v>40552</v>
      </c>
      <c r="C201" s="11">
        <v>1</v>
      </c>
      <c r="D201" s="11">
        <v>14</v>
      </c>
      <c r="E201" s="1" t="b">
        <v>0</v>
      </c>
      <c r="F201" s="11">
        <v>0</v>
      </c>
      <c r="G201" s="11">
        <v>1</v>
      </c>
      <c r="H201" s="10">
        <v>0.22</v>
      </c>
    </row>
    <row r="202" spans="1:8" x14ac:dyDescent="0.3">
      <c r="A202" s="11">
        <v>201</v>
      </c>
      <c r="B202" s="13">
        <v>40552</v>
      </c>
      <c r="C202" s="11">
        <v>1</v>
      </c>
      <c r="D202" s="11">
        <v>15</v>
      </c>
      <c r="E202" s="1" t="b">
        <v>0</v>
      </c>
      <c r="F202" s="11">
        <v>0</v>
      </c>
      <c r="G202" s="11">
        <v>1</v>
      </c>
      <c r="H202" s="10">
        <v>0.22</v>
      </c>
    </row>
    <row r="203" spans="1:8" x14ac:dyDescent="0.3">
      <c r="A203" s="11">
        <v>202</v>
      </c>
      <c r="B203" s="13">
        <v>40552</v>
      </c>
      <c r="C203" s="11">
        <v>1</v>
      </c>
      <c r="D203" s="11">
        <v>16</v>
      </c>
      <c r="E203" s="1" t="b">
        <v>0</v>
      </c>
      <c r="F203" s="11">
        <v>0</v>
      </c>
      <c r="G203" s="11">
        <v>1</v>
      </c>
      <c r="H203" s="10">
        <v>0.2</v>
      </c>
    </row>
    <row r="204" spans="1:8" x14ac:dyDescent="0.3">
      <c r="A204" s="11">
        <v>203</v>
      </c>
      <c r="B204" s="13">
        <v>40552</v>
      </c>
      <c r="C204" s="11">
        <v>1</v>
      </c>
      <c r="D204" s="11">
        <v>17</v>
      </c>
      <c r="E204" s="1" t="b">
        <v>0</v>
      </c>
      <c r="F204" s="11">
        <v>0</v>
      </c>
      <c r="G204" s="11">
        <v>1</v>
      </c>
      <c r="H204" s="10">
        <v>0.18</v>
      </c>
    </row>
    <row r="205" spans="1:8" x14ac:dyDescent="0.3">
      <c r="A205" s="11">
        <v>204</v>
      </c>
      <c r="B205" s="13">
        <v>40552</v>
      </c>
      <c r="C205" s="11">
        <v>1</v>
      </c>
      <c r="D205" s="11">
        <v>18</v>
      </c>
      <c r="E205" s="1" t="b">
        <v>0</v>
      </c>
      <c r="F205" s="11">
        <v>0</v>
      </c>
      <c r="G205" s="11">
        <v>1</v>
      </c>
      <c r="H205" s="10">
        <v>0.16</v>
      </c>
    </row>
    <row r="206" spans="1:8" x14ac:dyDescent="0.3">
      <c r="A206" s="11">
        <v>205</v>
      </c>
      <c r="B206" s="13">
        <v>40552</v>
      </c>
      <c r="C206" s="11">
        <v>1</v>
      </c>
      <c r="D206" s="11">
        <v>19</v>
      </c>
      <c r="E206" s="1" t="b">
        <v>0</v>
      </c>
      <c r="F206" s="11">
        <v>0</v>
      </c>
      <c r="G206" s="11">
        <v>1</v>
      </c>
      <c r="H206" s="10">
        <v>0.16</v>
      </c>
    </row>
    <row r="207" spans="1:8" x14ac:dyDescent="0.3">
      <c r="A207" s="11">
        <v>206</v>
      </c>
      <c r="B207" s="13">
        <v>40552</v>
      </c>
      <c r="C207" s="11">
        <v>1</v>
      </c>
      <c r="D207" s="11">
        <v>20</v>
      </c>
      <c r="E207" s="1" t="b">
        <v>0</v>
      </c>
      <c r="F207" s="11">
        <v>0</v>
      </c>
      <c r="G207" s="11">
        <v>1</v>
      </c>
      <c r="H207" s="10">
        <v>0.14000000000000001</v>
      </c>
    </row>
    <row r="208" spans="1:8" x14ac:dyDescent="0.3">
      <c r="A208" s="11">
        <v>207</v>
      </c>
      <c r="B208" s="13">
        <v>40552</v>
      </c>
      <c r="C208" s="11">
        <v>1</v>
      </c>
      <c r="D208" s="11">
        <v>21</v>
      </c>
      <c r="E208" s="1" t="b">
        <v>0</v>
      </c>
      <c r="F208" s="11">
        <v>0</v>
      </c>
      <c r="G208" s="11">
        <v>1</v>
      </c>
      <c r="H208" s="10">
        <v>0.14000000000000001</v>
      </c>
    </row>
    <row r="209" spans="1:8" x14ac:dyDescent="0.3">
      <c r="A209" s="11">
        <v>208</v>
      </c>
      <c r="B209" s="13">
        <v>40552</v>
      </c>
      <c r="C209" s="11">
        <v>1</v>
      </c>
      <c r="D209" s="11">
        <v>22</v>
      </c>
      <c r="E209" s="1" t="b">
        <v>0</v>
      </c>
      <c r="F209" s="11">
        <v>0</v>
      </c>
      <c r="G209" s="11">
        <v>1</v>
      </c>
      <c r="H209" s="10">
        <v>0.14000000000000001</v>
      </c>
    </row>
    <row r="210" spans="1:8" x14ac:dyDescent="0.3">
      <c r="A210" s="11">
        <v>209</v>
      </c>
      <c r="B210" s="13">
        <v>40552</v>
      </c>
      <c r="C210" s="11">
        <v>1</v>
      </c>
      <c r="D210" s="11">
        <v>23</v>
      </c>
      <c r="E210" s="1" t="b">
        <v>0</v>
      </c>
      <c r="F210" s="11">
        <v>0</v>
      </c>
      <c r="G210" s="11">
        <v>1</v>
      </c>
      <c r="H210" s="10">
        <v>0.12</v>
      </c>
    </row>
    <row r="211" spans="1:8" x14ac:dyDescent="0.3">
      <c r="A211" s="11">
        <v>210</v>
      </c>
      <c r="B211" s="13">
        <v>40553</v>
      </c>
      <c r="C211" s="11">
        <v>1</v>
      </c>
      <c r="D211" s="11">
        <v>0</v>
      </c>
      <c r="E211" s="1" t="b">
        <v>0</v>
      </c>
      <c r="F211" s="11">
        <v>1</v>
      </c>
      <c r="G211" s="11">
        <v>1</v>
      </c>
      <c r="H211" s="10">
        <v>0.12</v>
      </c>
    </row>
    <row r="212" spans="1:8" x14ac:dyDescent="0.3">
      <c r="A212" s="11">
        <v>211</v>
      </c>
      <c r="B212" s="13">
        <v>40553</v>
      </c>
      <c r="C212" s="11">
        <v>1</v>
      </c>
      <c r="D212" s="11">
        <v>1</v>
      </c>
      <c r="E212" s="1" t="b">
        <v>0</v>
      </c>
      <c r="F212" s="11">
        <v>1</v>
      </c>
      <c r="G212" s="11">
        <v>1</v>
      </c>
      <c r="H212" s="10">
        <v>0.12</v>
      </c>
    </row>
    <row r="213" spans="1:8" x14ac:dyDescent="0.3">
      <c r="A213" s="11">
        <v>212</v>
      </c>
      <c r="B213" s="13">
        <v>40553</v>
      </c>
      <c r="C213" s="11">
        <v>1</v>
      </c>
      <c r="D213" s="11">
        <v>2</v>
      </c>
      <c r="E213" s="1" t="b">
        <v>0</v>
      </c>
      <c r="F213" s="11">
        <v>1</v>
      </c>
      <c r="G213" s="11">
        <v>1</v>
      </c>
      <c r="H213" s="10">
        <v>0.12</v>
      </c>
    </row>
    <row r="214" spans="1:8" x14ac:dyDescent="0.3">
      <c r="A214" s="11">
        <v>213</v>
      </c>
      <c r="B214" s="13">
        <v>40553</v>
      </c>
      <c r="C214" s="11">
        <v>1</v>
      </c>
      <c r="D214" s="11">
        <v>3</v>
      </c>
      <c r="E214" s="1" t="b">
        <v>0</v>
      </c>
      <c r="F214" s="11">
        <v>1</v>
      </c>
      <c r="G214" s="11">
        <v>1</v>
      </c>
      <c r="H214" s="10">
        <v>0.12</v>
      </c>
    </row>
    <row r="215" spans="1:8" x14ac:dyDescent="0.3">
      <c r="A215" s="11">
        <v>214</v>
      </c>
      <c r="B215" s="13">
        <v>40553</v>
      </c>
      <c r="C215" s="11">
        <v>1</v>
      </c>
      <c r="D215" s="11">
        <v>4</v>
      </c>
      <c r="E215" s="1" t="b">
        <v>0</v>
      </c>
      <c r="F215" s="11">
        <v>1</v>
      </c>
      <c r="G215" s="11">
        <v>1</v>
      </c>
      <c r="H215" s="10">
        <v>0.1</v>
      </c>
    </row>
    <row r="216" spans="1:8" x14ac:dyDescent="0.3">
      <c r="A216" s="11">
        <v>215</v>
      </c>
      <c r="B216" s="13">
        <v>40553</v>
      </c>
      <c r="C216" s="11">
        <v>1</v>
      </c>
      <c r="D216" s="11">
        <v>5</v>
      </c>
      <c r="E216" s="1" t="b">
        <v>0</v>
      </c>
      <c r="F216" s="11">
        <v>1</v>
      </c>
      <c r="G216" s="11">
        <v>1</v>
      </c>
      <c r="H216" s="10">
        <v>0.1</v>
      </c>
    </row>
    <row r="217" spans="1:8" x14ac:dyDescent="0.3">
      <c r="A217" s="11">
        <v>216</v>
      </c>
      <c r="B217" s="13">
        <v>40553</v>
      </c>
      <c r="C217" s="11">
        <v>1</v>
      </c>
      <c r="D217" s="11">
        <v>6</v>
      </c>
      <c r="E217" s="1" t="b">
        <v>0</v>
      </c>
      <c r="F217" s="11">
        <v>1</v>
      </c>
      <c r="G217" s="11">
        <v>1</v>
      </c>
      <c r="H217" s="10">
        <v>0.12</v>
      </c>
    </row>
    <row r="218" spans="1:8" x14ac:dyDescent="0.3">
      <c r="A218" s="11">
        <v>217</v>
      </c>
      <c r="B218" s="13">
        <v>40553</v>
      </c>
      <c r="C218" s="11">
        <v>1</v>
      </c>
      <c r="D218" s="11">
        <v>7</v>
      </c>
      <c r="E218" s="1" t="b">
        <v>0</v>
      </c>
      <c r="F218" s="11">
        <v>1</v>
      </c>
      <c r="G218" s="11">
        <v>1</v>
      </c>
      <c r="H218" s="10">
        <v>0.12</v>
      </c>
    </row>
    <row r="219" spans="1:8" x14ac:dyDescent="0.3">
      <c r="A219" s="11">
        <v>218</v>
      </c>
      <c r="B219" s="13">
        <v>40553</v>
      </c>
      <c r="C219" s="11">
        <v>1</v>
      </c>
      <c r="D219" s="11">
        <v>8</v>
      </c>
      <c r="E219" s="1" t="b">
        <v>0</v>
      </c>
      <c r="F219" s="11">
        <v>1</v>
      </c>
      <c r="G219" s="11">
        <v>2</v>
      </c>
      <c r="H219" s="10">
        <v>0.12</v>
      </c>
    </row>
    <row r="220" spans="1:8" x14ac:dyDescent="0.3">
      <c r="A220" s="11">
        <v>219</v>
      </c>
      <c r="B220" s="13">
        <v>40553</v>
      </c>
      <c r="C220" s="11">
        <v>1</v>
      </c>
      <c r="D220" s="11">
        <v>9</v>
      </c>
      <c r="E220" s="1" t="b">
        <v>0</v>
      </c>
      <c r="F220" s="11">
        <v>1</v>
      </c>
      <c r="G220" s="11">
        <v>2</v>
      </c>
      <c r="H220" s="10">
        <v>0.14000000000000001</v>
      </c>
    </row>
    <row r="221" spans="1:8" x14ac:dyDescent="0.3">
      <c r="A221" s="11">
        <v>220</v>
      </c>
      <c r="B221" s="13">
        <v>40553</v>
      </c>
      <c r="C221" s="11">
        <v>1</v>
      </c>
      <c r="D221" s="11">
        <v>10</v>
      </c>
      <c r="E221" s="1" t="b">
        <v>0</v>
      </c>
      <c r="F221" s="11">
        <v>1</v>
      </c>
      <c r="G221" s="11">
        <v>2</v>
      </c>
      <c r="H221" s="10">
        <v>0.14000000000000001</v>
      </c>
    </row>
    <row r="222" spans="1:8" x14ac:dyDescent="0.3">
      <c r="A222" s="11">
        <v>221</v>
      </c>
      <c r="B222" s="13">
        <v>40553</v>
      </c>
      <c r="C222" s="11">
        <v>1</v>
      </c>
      <c r="D222" s="11">
        <v>11</v>
      </c>
      <c r="E222" s="1" t="b">
        <v>0</v>
      </c>
      <c r="F222" s="11">
        <v>1</v>
      </c>
      <c r="G222" s="11">
        <v>2</v>
      </c>
      <c r="H222" s="10">
        <v>0.16</v>
      </c>
    </row>
    <row r="223" spans="1:8" x14ac:dyDescent="0.3">
      <c r="A223" s="11">
        <v>222</v>
      </c>
      <c r="B223" s="13">
        <v>40553</v>
      </c>
      <c r="C223" s="11">
        <v>1</v>
      </c>
      <c r="D223" s="11">
        <v>12</v>
      </c>
      <c r="E223" s="1" t="b">
        <v>0</v>
      </c>
      <c r="F223" s="11">
        <v>1</v>
      </c>
      <c r="G223" s="11">
        <v>2</v>
      </c>
      <c r="H223" s="10">
        <v>0.2</v>
      </c>
    </row>
    <row r="224" spans="1:8" x14ac:dyDescent="0.3">
      <c r="A224" s="11">
        <v>223</v>
      </c>
      <c r="B224" s="13">
        <v>40553</v>
      </c>
      <c r="C224" s="11">
        <v>1</v>
      </c>
      <c r="D224" s="11">
        <v>13</v>
      </c>
      <c r="E224" s="1" t="b">
        <v>0</v>
      </c>
      <c r="F224" s="11">
        <v>1</v>
      </c>
      <c r="G224" s="11">
        <v>2</v>
      </c>
      <c r="H224" s="10">
        <v>0.2</v>
      </c>
    </row>
    <row r="225" spans="1:8" x14ac:dyDescent="0.3">
      <c r="A225" s="11">
        <v>224</v>
      </c>
      <c r="B225" s="13">
        <v>40553</v>
      </c>
      <c r="C225" s="11">
        <v>1</v>
      </c>
      <c r="D225" s="11">
        <v>14</v>
      </c>
      <c r="E225" s="1" t="b">
        <v>0</v>
      </c>
      <c r="F225" s="11">
        <v>1</v>
      </c>
      <c r="G225" s="11">
        <v>2</v>
      </c>
      <c r="H225" s="10">
        <v>0.2</v>
      </c>
    </row>
    <row r="226" spans="1:8" x14ac:dyDescent="0.3">
      <c r="A226" s="11">
        <v>225</v>
      </c>
      <c r="B226" s="13">
        <v>40553</v>
      </c>
      <c r="C226" s="11">
        <v>1</v>
      </c>
      <c r="D226" s="11">
        <v>15</v>
      </c>
      <c r="E226" s="1" t="b">
        <v>0</v>
      </c>
      <c r="F226" s="11">
        <v>1</v>
      </c>
      <c r="G226" s="11">
        <v>2</v>
      </c>
      <c r="H226" s="10">
        <v>0.2</v>
      </c>
    </row>
    <row r="227" spans="1:8" x14ac:dyDescent="0.3">
      <c r="A227" s="11">
        <v>226</v>
      </c>
      <c r="B227" s="13">
        <v>40553</v>
      </c>
      <c r="C227" s="11">
        <v>1</v>
      </c>
      <c r="D227" s="11">
        <v>16</v>
      </c>
      <c r="E227" s="1" t="b">
        <v>0</v>
      </c>
      <c r="F227" s="11">
        <v>1</v>
      </c>
      <c r="G227" s="11">
        <v>1</v>
      </c>
      <c r="H227" s="10">
        <v>0.2</v>
      </c>
    </row>
    <row r="228" spans="1:8" x14ac:dyDescent="0.3">
      <c r="A228" s="11">
        <v>227</v>
      </c>
      <c r="B228" s="13">
        <v>40553</v>
      </c>
      <c r="C228" s="11">
        <v>1</v>
      </c>
      <c r="D228" s="11">
        <v>17</v>
      </c>
      <c r="E228" s="1" t="b">
        <v>0</v>
      </c>
      <c r="F228" s="11">
        <v>1</v>
      </c>
      <c r="G228" s="11">
        <v>1</v>
      </c>
      <c r="H228" s="10">
        <v>0.2</v>
      </c>
    </row>
    <row r="229" spans="1:8" x14ac:dyDescent="0.3">
      <c r="A229" s="11">
        <v>228</v>
      </c>
      <c r="B229" s="13">
        <v>40553</v>
      </c>
      <c r="C229" s="11">
        <v>1</v>
      </c>
      <c r="D229" s="11">
        <v>18</v>
      </c>
      <c r="E229" s="1" t="b">
        <v>0</v>
      </c>
      <c r="F229" s="11">
        <v>1</v>
      </c>
      <c r="G229" s="11">
        <v>1</v>
      </c>
      <c r="H229" s="10">
        <v>0.2</v>
      </c>
    </row>
    <row r="230" spans="1:8" x14ac:dyDescent="0.3">
      <c r="A230" s="11">
        <v>229</v>
      </c>
      <c r="B230" s="13">
        <v>40553</v>
      </c>
      <c r="C230" s="11">
        <v>1</v>
      </c>
      <c r="D230" s="11">
        <v>19</v>
      </c>
      <c r="E230" s="1" t="b">
        <v>0</v>
      </c>
      <c r="F230" s="11">
        <v>1</v>
      </c>
      <c r="G230" s="11">
        <v>1</v>
      </c>
      <c r="H230" s="10">
        <v>0.16</v>
      </c>
    </row>
    <row r="231" spans="1:8" x14ac:dyDescent="0.3">
      <c r="A231" s="11">
        <v>230</v>
      </c>
      <c r="B231" s="13">
        <v>40553</v>
      </c>
      <c r="C231" s="11">
        <v>1</v>
      </c>
      <c r="D231" s="11">
        <v>20</v>
      </c>
      <c r="E231" s="1" t="b">
        <v>0</v>
      </c>
      <c r="F231" s="11">
        <v>1</v>
      </c>
      <c r="G231" s="11">
        <v>1</v>
      </c>
      <c r="H231" s="10">
        <v>0.16</v>
      </c>
    </row>
    <row r="232" spans="1:8" x14ac:dyDescent="0.3">
      <c r="A232" s="11">
        <v>231</v>
      </c>
      <c r="B232" s="13">
        <v>40553</v>
      </c>
      <c r="C232" s="11">
        <v>1</v>
      </c>
      <c r="D232" s="11">
        <v>21</v>
      </c>
      <c r="E232" s="1" t="b">
        <v>0</v>
      </c>
      <c r="F232" s="11">
        <v>1</v>
      </c>
      <c r="G232" s="11">
        <v>1</v>
      </c>
      <c r="H232" s="10">
        <v>0.14000000000000001</v>
      </c>
    </row>
    <row r="233" spans="1:8" x14ac:dyDescent="0.3">
      <c r="A233" s="11">
        <v>232</v>
      </c>
      <c r="B233" s="13">
        <v>40553</v>
      </c>
      <c r="C233" s="11">
        <v>1</v>
      </c>
      <c r="D233" s="11">
        <v>22</v>
      </c>
      <c r="E233" s="1" t="b">
        <v>0</v>
      </c>
      <c r="F233" s="11">
        <v>1</v>
      </c>
      <c r="G233" s="11">
        <v>1</v>
      </c>
      <c r="H233" s="10">
        <v>0.14000000000000001</v>
      </c>
    </row>
    <row r="234" spans="1:8" x14ac:dyDescent="0.3">
      <c r="A234" s="11">
        <v>233</v>
      </c>
      <c r="B234" s="13">
        <v>40553</v>
      </c>
      <c r="C234" s="11">
        <v>1</v>
      </c>
      <c r="D234" s="11">
        <v>23</v>
      </c>
      <c r="E234" s="1" t="b">
        <v>0</v>
      </c>
      <c r="F234" s="11">
        <v>1</v>
      </c>
      <c r="G234" s="11">
        <v>1</v>
      </c>
      <c r="H234" s="10">
        <v>0.14000000000000001</v>
      </c>
    </row>
    <row r="235" spans="1:8" x14ac:dyDescent="0.3">
      <c r="A235" s="11">
        <v>234</v>
      </c>
      <c r="B235" s="13">
        <v>40554</v>
      </c>
      <c r="C235" s="11">
        <v>1</v>
      </c>
      <c r="D235" s="11">
        <v>0</v>
      </c>
      <c r="E235" s="1" t="b">
        <v>0</v>
      </c>
      <c r="F235" s="11">
        <v>2</v>
      </c>
      <c r="G235" s="11">
        <v>1</v>
      </c>
      <c r="H235" s="10">
        <v>0.14000000000000001</v>
      </c>
    </row>
    <row r="236" spans="1:8" x14ac:dyDescent="0.3">
      <c r="A236" s="11">
        <v>235</v>
      </c>
      <c r="B236" s="13">
        <v>40554</v>
      </c>
      <c r="C236" s="11">
        <v>1</v>
      </c>
      <c r="D236" s="11">
        <v>1</v>
      </c>
      <c r="E236" s="1" t="b">
        <v>0</v>
      </c>
      <c r="F236" s="11">
        <v>2</v>
      </c>
      <c r="G236" s="11">
        <v>1</v>
      </c>
      <c r="H236" s="10">
        <v>0.14000000000000001</v>
      </c>
    </row>
    <row r="237" spans="1:8" x14ac:dyDescent="0.3">
      <c r="A237" s="11">
        <v>236</v>
      </c>
      <c r="B237" s="13">
        <v>40554</v>
      </c>
      <c r="C237" s="11">
        <v>1</v>
      </c>
      <c r="D237" s="11">
        <v>2</v>
      </c>
      <c r="E237" s="1" t="b">
        <v>0</v>
      </c>
      <c r="F237" s="11">
        <v>2</v>
      </c>
      <c r="G237" s="11">
        <v>2</v>
      </c>
      <c r="H237" s="10">
        <v>0.16</v>
      </c>
    </row>
    <row r="238" spans="1:8" x14ac:dyDescent="0.3">
      <c r="A238" s="11">
        <v>237</v>
      </c>
      <c r="B238" s="13">
        <v>40554</v>
      </c>
      <c r="C238" s="11">
        <v>1</v>
      </c>
      <c r="D238" s="11">
        <v>5</v>
      </c>
      <c r="E238" s="1" t="b">
        <v>0</v>
      </c>
      <c r="F238" s="11">
        <v>2</v>
      </c>
      <c r="G238" s="11">
        <v>2</v>
      </c>
      <c r="H238" s="10">
        <v>0.16</v>
      </c>
    </row>
    <row r="239" spans="1:8" x14ac:dyDescent="0.3">
      <c r="A239" s="11">
        <v>238</v>
      </c>
      <c r="B239" s="13">
        <v>40554</v>
      </c>
      <c r="C239" s="11">
        <v>1</v>
      </c>
      <c r="D239" s="11">
        <v>6</v>
      </c>
      <c r="E239" s="1" t="b">
        <v>0</v>
      </c>
      <c r="F239" s="11">
        <v>2</v>
      </c>
      <c r="G239" s="11">
        <v>2</v>
      </c>
      <c r="H239" s="10">
        <v>0.16</v>
      </c>
    </row>
    <row r="240" spans="1:8" x14ac:dyDescent="0.3">
      <c r="A240" s="11">
        <v>239</v>
      </c>
      <c r="B240" s="13">
        <v>40554</v>
      </c>
      <c r="C240" s="11">
        <v>1</v>
      </c>
      <c r="D240" s="11">
        <v>7</v>
      </c>
      <c r="E240" s="1" t="b">
        <v>0</v>
      </c>
      <c r="F240" s="11">
        <v>2</v>
      </c>
      <c r="G240" s="11">
        <v>2</v>
      </c>
      <c r="H240" s="10">
        <v>0.16</v>
      </c>
    </row>
    <row r="241" spans="1:8" x14ac:dyDescent="0.3">
      <c r="A241" s="11">
        <v>240</v>
      </c>
      <c r="B241" s="13">
        <v>40554</v>
      </c>
      <c r="C241" s="11">
        <v>1</v>
      </c>
      <c r="D241" s="11">
        <v>8</v>
      </c>
      <c r="E241" s="1" t="b">
        <v>0</v>
      </c>
      <c r="F241" s="11">
        <v>2</v>
      </c>
      <c r="G241" s="11">
        <v>2</v>
      </c>
      <c r="H241" s="10">
        <v>0.18</v>
      </c>
    </row>
    <row r="242" spans="1:8" x14ac:dyDescent="0.3">
      <c r="A242" s="11">
        <v>241</v>
      </c>
      <c r="B242" s="13">
        <v>40554</v>
      </c>
      <c r="C242" s="11">
        <v>1</v>
      </c>
      <c r="D242" s="11">
        <v>9</v>
      </c>
      <c r="E242" s="1" t="b">
        <v>0</v>
      </c>
      <c r="F242" s="11">
        <v>2</v>
      </c>
      <c r="G242" s="11">
        <v>2</v>
      </c>
      <c r="H242" s="10">
        <v>0.18</v>
      </c>
    </row>
    <row r="243" spans="1:8" x14ac:dyDescent="0.3">
      <c r="A243" s="11">
        <v>242</v>
      </c>
      <c r="B243" s="13">
        <v>40554</v>
      </c>
      <c r="C243" s="11">
        <v>1</v>
      </c>
      <c r="D243" s="11">
        <v>10</v>
      </c>
      <c r="E243" s="1" t="b">
        <v>0</v>
      </c>
      <c r="F243" s="11">
        <v>2</v>
      </c>
      <c r="G243" s="11">
        <v>2</v>
      </c>
      <c r="H243" s="10">
        <v>0.2</v>
      </c>
    </row>
    <row r="244" spans="1:8" x14ac:dyDescent="0.3">
      <c r="A244" s="11">
        <v>243</v>
      </c>
      <c r="B244" s="13">
        <v>40554</v>
      </c>
      <c r="C244" s="11">
        <v>1</v>
      </c>
      <c r="D244" s="11">
        <v>11</v>
      </c>
      <c r="E244" s="1" t="b">
        <v>0</v>
      </c>
      <c r="F244" s="11">
        <v>2</v>
      </c>
      <c r="G244" s="11">
        <v>2</v>
      </c>
      <c r="H244" s="10">
        <v>0.2</v>
      </c>
    </row>
    <row r="245" spans="1:8" x14ac:dyDescent="0.3">
      <c r="A245" s="11">
        <v>244</v>
      </c>
      <c r="B245" s="13">
        <v>40554</v>
      </c>
      <c r="C245" s="11">
        <v>1</v>
      </c>
      <c r="D245" s="11">
        <v>12</v>
      </c>
      <c r="E245" s="1" t="b">
        <v>0</v>
      </c>
      <c r="F245" s="11">
        <v>2</v>
      </c>
      <c r="G245" s="11">
        <v>2</v>
      </c>
      <c r="H245" s="10">
        <v>0.2</v>
      </c>
    </row>
    <row r="246" spans="1:8" x14ac:dyDescent="0.3">
      <c r="A246" s="11">
        <v>245</v>
      </c>
      <c r="B246" s="13">
        <v>40554</v>
      </c>
      <c r="C246" s="11">
        <v>1</v>
      </c>
      <c r="D246" s="11">
        <v>13</v>
      </c>
      <c r="E246" s="1" t="b">
        <v>0</v>
      </c>
      <c r="F246" s="11">
        <v>2</v>
      </c>
      <c r="G246" s="11">
        <v>2</v>
      </c>
      <c r="H246" s="10">
        <v>0.2</v>
      </c>
    </row>
    <row r="247" spans="1:8" x14ac:dyDescent="0.3">
      <c r="A247" s="11">
        <v>246</v>
      </c>
      <c r="B247" s="13">
        <v>40554</v>
      </c>
      <c r="C247" s="11">
        <v>1</v>
      </c>
      <c r="D247" s="11">
        <v>14</v>
      </c>
      <c r="E247" s="1" t="b">
        <v>0</v>
      </c>
      <c r="F247" s="11">
        <v>2</v>
      </c>
      <c r="G247" s="11">
        <v>2</v>
      </c>
      <c r="H247" s="10">
        <v>0.2</v>
      </c>
    </row>
    <row r="248" spans="1:8" x14ac:dyDescent="0.3">
      <c r="A248" s="11">
        <v>247</v>
      </c>
      <c r="B248" s="13">
        <v>40554</v>
      </c>
      <c r="C248" s="11">
        <v>1</v>
      </c>
      <c r="D248" s="11">
        <v>15</v>
      </c>
      <c r="E248" s="1" t="b">
        <v>0</v>
      </c>
      <c r="F248" s="11">
        <v>2</v>
      </c>
      <c r="G248" s="11">
        <v>2</v>
      </c>
      <c r="H248" s="10">
        <v>0.16</v>
      </c>
    </row>
    <row r="249" spans="1:8" x14ac:dyDescent="0.3">
      <c r="A249" s="11">
        <v>248</v>
      </c>
      <c r="B249" s="13">
        <v>40554</v>
      </c>
      <c r="C249" s="11">
        <v>1</v>
      </c>
      <c r="D249" s="11">
        <v>16</v>
      </c>
      <c r="E249" s="1" t="b">
        <v>0</v>
      </c>
      <c r="F249" s="11">
        <v>2</v>
      </c>
      <c r="G249" s="11">
        <v>2</v>
      </c>
      <c r="H249" s="10">
        <v>0.16</v>
      </c>
    </row>
    <row r="250" spans="1:8" x14ac:dyDescent="0.3">
      <c r="A250" s="11">
        <v>249</v>
      </c>
      <c r="B250" s="13">
        <v>40554</v>
      </c>
      <c r="C250" s="11">
        <v>1</v>
      </c>
      <c r="D250" s="11">
        <v>17</v>
      </c>
      <c r="E250" s="1" t="b">
        <v>0</v>
      </c>
      <c r="F250" s="11">
        <v>2</v>
      </c>
      <c r="G250" s="11">
        <v>2</v>
      </c>
      <c r="H250" s="10">
        <v>0.16</v>
      </c>
    </row>
    <row r="251" spans="1:8" x14ac:dyDescent="0.3">
      <c r="A251" s="11">
        <v>250</v>
      </c>
      <c r="B251" s="13">
        <v>40554</v>
      </c>
      <c r="C251" s="11">
        <v>1</v>
      </c>
      <c r="D251" s="11">
        <v>18</v>
      </c>
      <c r="E251" s="1" t="b">
        <v>0</v>
      </c>
      <c r="F251" s="11">
        <v>2</v>
      </c>
      <c r="G251" s="11">
        <v>3</v>
      </c>
      <c r="H251" s="10">
        <v>0.16</v>
      </c>
    </row>
    <row r="252" spans="1:8" x14ac:dyDescent="0.3">
      <c r="A252" s="11">
        <v>251</v>
      </c>
      <c r="B252" s="13">
        <v>40554</v>
      </c>
      <c r="C252" s="11">
        <v>1</v>
      </c>
      <c r="D252" s="11">
        <v>19</v>
      </c>
      <c r="E252" s="1" t="b">
        <v>0</v>
      </c>
      <c r="F252" s="11">
        <v>2</v>
      </c>
      <c r="G252" s="11">
        <v>3</v>
      </c>
      <c r="H252" s="10">
        <v>0.16</v>
      </c>
    </row>
    <row r="253" spans="1:8" x14ac:dyDescent="0.3">
      <c r="A253" s="11">
        <v>252</v>
      </c>
      <c r="B253" s="13">
        <v>40554</v>
      </c>
      <c r="C253" s="11">
        <v>1</v>
      </c>
      <c r="D253" s="11">
        <v>20</v>
      </c>
      <c r="E253" s="1" t="b">
        <v>0</v>
      </c>
      <c r="F253" s="11">
        <v>2</v>
      </c>
      <c r="G253" s="11">
        <v>3</v>
      </c>
      <c r="H253" s="10">
        <v>0.16</v>
      </c>
    </row>
    <row r="254" spans="1:8" x14ac:dyDescent="0.3">
      <c r="A254" s="11">
        <v>253</v>
      </c>
      <c r="B254" s="13">
        <v>40554</v>
      </c>
      <c r="C254" s="11">
        <v>1</v>
      </c>
      <c r="D254" s="11">
        <v>21</v>
      </c>
      <c r="E254" s="1" t="b">
        <v>0</v>
      </c>
      <c r="F254" s="11">
        <v>2</v>
      </c>
      <c r="G254" s="11">
        <v>3</v>
      </c>
      <c r="H254" s="10">
        <v>0.16</v>
      </c>
    </row>
    <row r="255" spans="1:8" x14ac:dyDescent="0.3">
      <c r="A255" s="11">
        <v>254</v>
      </c>
      <c r="B255" s="13">
        <v>40554</v>
      </c>
      <c r="C255" s="11">
        <v>1</v>
      </c>
      <c r="D255" s="11">
        <v>22</v>
      </c>
      <c r="E255" s="1" t="b">
        <v>0</v>
      </c>
      <c r="F255" s="11">
        <v>2</v>
      </c>
      <c r="G255" s="11">
        <v>3</v>
      </c>
      <c r="H255" s="10">
        <v>0.16</v>
      </c>
    </row>
    <row r="256" spans="1:8" x14ac:dyDescent="0.3">
      <c r="A256" s="11">
        <v>255</v>
      </c>
      <c r="B256" s="13">
        <v>40554</v>
      </c>
      <c r="C256" s="11">
        <v>1</v>
      </c>
      <c r="D256" s="11">
        <v>23</v>
      </c>
      <c r="E256" s="1" t="b">
        <v>0</v>
      </c>
      <c r="F256" s="11">
        <v>2</v>
      </c>
      <c r="G256" s="11">
        <v>3</v>
      </c>
      <c r="H256" s="10">
        <v>0.16</v>
      </c>
    </row>
    <row r="257" spans="1:8" x14ac:dyDescent="0.3">
      <c r="A257" s="11">
        <v>256</v>
      </c>
      <c r="B257" s="13">
        <v>40555</v>
      </c>
      <c r="C257" s="11">
        <v>1</v>
      </c>
      <c r="D257" s="11">
        <v>0</v>
      </c>
      <c r="E257" s="1" t="b">
        <v>0</v>
      </c>
      <c r="F257" s="11">
        <v>3</v>
      </c>
      <c r="G257" s="11">
        <v>2</v>
      </c>
      <c r="H257" s="10">
        <v>0.16</v>
      </c>
    </row>
    <row r="258" spans="1:8" x14ac:dyDescent="0.3">
      <c r="A258" s="11">
        <v>257</v>
      </c>
      <c r="B258" s="13">
        <v>40555</v>
      </c>
      <c r="C258" s="11">
        <v>1</v>
      </c>
      <c r="D258" s="11">
        <v>1</v>
      </c>
      <c r="E258" s="1" t="b">
        <v>0</v>
      </c>
      <c r="F258" s="11">
        <v>3</v>
      </c>
      <c r="G258" s="11">
        <v>2</v>
      </c>
      <c r="H258" s="10">
        <v>0.16</v>
      </c>
    </row>
    <row r="259" spans="1:8" x14ac:dyDescent="0.3">
      <c r="A259" s="11">
        <v>258</v>
      </c>
      <c r="B259" s="13">
        <v>40555</v>
      </c>
      <c r="C259" s="11">
        <v>1</v>
      </c>
      <c r="D259" s="11">
        <v>2</v>
      </c>
      <c r="E259" s="1" t="b">
        <v>0</v>
      </c>
      <c r="F259" s="11">
        <v>3</v>
      </c>
      <c r="G259" s="11">
        <v>1</v>
      </c>
      <c r="H259" s="10">
        <v>0.14000000000000001</v>
      </c>
    </row>
    <row r="260" spans="1:8" x14ac:dyDescent="0.3">
      <c r="A260" s="11">
        <v>259</v>
      </c>
      <c r="B260" s="13">
        <v>40555</v>
      </c>
      <c r="C260" s="11">
        <v>1</v>
      </c>
      <c r="D260" s="11">
        <v>5</v>
      </c>
      <c r="E260" s="1" t="b">
        <v>0</v>
      </c>
      <c r="F260" s="11">
        <v>3</v>
      </c>
      <c r="G260" s="11">
        <v>1</v>
      </c>
      <c r="H260" s="10">
        <v>0.14000000000000001</v>
      </c>
    </row>
    <row r="261" spans="1:8" x14ac:dyDescent="0.3">
      <c r="A261" s="11">
        <v>260</v>
      </c>
      <c r="B261" s="13">
        <v>40555</v>
      </c>
      <c r="C261" s="11">
        <v>1</v>
      </c>
      <c r="D261" s="11">
        <v>6</v>
      </c>
      <c r="E261" s="1" t="b">
        <v>0</v>
      </c>
      <c r="F261" s="11">
        <v>3</v>
      </c>
      <c r="G261" s="11">
        <v>1</v>
      </c>
      <c r="H261" s="10">
        <v>0.12</v>
      </c>
    </row>
    <row r="262" spans="1:8" x14ac:dyDescent="0.3">
      <c r="A262" s="11">
        <v>261</v>
      </c>
      <c r="B262" s="13">
        <v>40555</v>
      </c>
      <c r="C262" s="11">
        <v>1</v>
      </c>
      <c r="D262" s="11">
        <v>7</v>
      </c>
      <c r="E262" s="1" t="b">
        <v>0</v>
      </c>
      <c r="F262" s="11">
        <v>3</v>
      </c>
      <c r="G262" s="11">
        <v>1</v>
      </c>
      <c r="H262" s="10">
        <v>0.14000000000000001</v>
      </c>
    </row>
    <row r="263" spans="1:8" x14ac:dyDescent="0.3">
      <c r="A263" s="11">
        <v>262</v>
      </c>
      <c r="B263" s="13">
        <v>40555</v>
      </c>
      <c r="C263" s="11">
        <v>1</v>
      </c>
      <c r="D263" s="11">
        <v>8</v>
      </c>
      <c r="E263" s="1" t="b">
        <v>0</v>
      </c>
      <c r="F263" s="11">
        <v>3</v>
      </c>
      <c r="G263" s="11">
        <v>1</v>
      </c>
      <c r="H263" s="10">
        <v>0.16</v>
      </c>
    </row>
    <row r="264" spans="1:8" x14ac:dyDescent="0.3">
      <c r="A264" s="11">
        <v>263</v>
      </c>
      <c r="B264" s="13">
        <v>40555</v>
      </c>
      <c r="C264" s="11">
        <v>1</v>
      </c>
      <c r="D264" s="11">
        <v>9</v>
      </c>
      <c r="E264" s="1" t="b">
        <v>0</v>
      </c>
      <c r="F264" s="11">
        <v>3</v>
      </c>
      <c r="G264" s="11">
        <v>1</v>
      </c>
      <c r="H264" s="10">
        <v>0.16</v>
      </c>
    </row>
    <row r="265" spans="1:8" x14ac:dyDescent="0.3">
      <c r="A265" s="11">
        <v>264</v>
      </c>
      <c r="B265" s="13">
        <v>40555</v>
      </c>
      <c r="C265" s="11">
        <v>1</v>
      </c>
      <c r="D265" s="11">
        <v>10</v>
      </c>
      <c r="E265" s="1" t="b">
        <v>0</v>
      </c>
      <c r="F265" s="11">
        <v>3</v>
      </c>
      <c r="G265" s="11">
        <v>1</v>
      </c>
      <c r="H265" s="10">
        <v>0.18</v>
      </c>
    </row>
    <row r="266" spans="1:8" x14ac:dyDescent="0.3">
      <c r="A266" s="11">
        <v>265</v>
      </c>
      <c r="B266" s="13">
        <v>40555</v>
      </c>
      <c r="C266" s="11">
        <v>1</v>
      </c>
      <c r="D266" s="11">
        <v>11</v>
      </c>
      <c r="E266" s="1" t="b">
        <v>0</v>
      </c>
      <c r="F266" s="11">
        <v>3</v>
      </c>
      <c r="G266" s="11">
        <v>1</v>
      </c>
      <c r="H266" s="10">
        <v>0.2</v>
      </c>
    </row>
    <row r="267" spans="1:8" x14ac:dyDescent="0.3">
      <c r="A267" s="11">
        <v>266</v>
      </c>
      <c r="B267" s="13">
        <v>40555</v>
      </c>
      <c r="C267" s="11">
        <v>1</v>
      </c>
      <c r="D267" s="11">
        <v>12</v>
      </c>
      <c r="E267" s="1" t="b">
        <v>0</v>
      </c>
      <c r="F267" s="11">
        <v>3</v>
      </c>
      <c r="G267" s="11">
        <v>1</v>
      </c>
      <c r="H267" s="10">
        <v>0.2</v>
      </c>
    </row>
    <row r="268" spans="1:8" x14ac:dyDescent="0.3">
      <c r="A268" s="11">
        <v>267</v>
      </c>
      <c r="B268" s="13">
        <v>40555</v>
      </c>
      <c r="C268" s="11">
        <v>1</v>
      </c>
      <c r="D268" s="11">
        <v>13</v>
      </c>
      <c r="E268" s="1" t="b">
        <v>0</v>
      </c>
      <c r="F268" s="11">
        <v>3</v>
      </c>
      <c r="G268" s="11">
        <v>1</v>
      </c>
      <c r="H268" s="10">
        <v>0.22</v>
      </c>
    </row>
    <row r="269" spans="1:8" x14ac:dyDescent="0.3">
      <c r="A269" s="11">
        <v>268</v>
      </c>
      <c r="B269" s="13">
        <v>40555</v>
      </c>
      <c r="C269" s="11">
        <v>1</v>
      </c>
      <c r="D269" s="11">
        <v>14</v>
      </c>
      <c r="E269" s="1" t="b">
        <v>0</v>
      </c>
      <c r="F269" s="11">
        <v>3</v>
      </c>
      <c r="G269" s="11">
        <v>1</v>
      </c>
      <c r="H269" s="10">
        <v>0.2</v>
      </c>
    </row>
    <row r="270" spans="1:8" x14ac:dyDescent="0.3">
      <c r="A270" s="11">
        <v>269</v>
      </c>
      <c r="B270" s="13">
        <v>40555</v>
      </c>
      <c r="C270" s="11">
        <v>1</v>
      </c>
      <c r="D270" s="11">
        <v>15</v>
      </c>
      <c r="E270" s="1" t="b">
        <v>0</v>
      </c>
      <c r="F270" s="11">
        <v>3</v>
      </c>
      <c r="G270" s="11">
        <v>1</v>
      </c>
      <c r="H270" s="10">
        <v>0.2</v>
      </c>
    </row>
    <row r="271" spans="1:8" x14ac:dyDescent="0.3">
      <c r="A271" s="11">
        <v>270</v>
      </c>
      <c r="B271" s="13">
        <v>40555</v>
      </c>
      <c r="C271" s="11">
        <v>1</v>
      </c>
      <c r="D271" s="11">
        <v>16</v>
      </c>
      <c r="E271" s="1" t="b">
        <v>0</v>
      </c>
      <c r="F271" s="11">
        <v>3</v>
      </c>
      <c r="G271" s="11">
        <v>1</v>
      </c>
      <c r="H271" s="10">
        <v>0.22</v>
      </c>
    </row>
    <row r="272" spans="1:8" x14ac:dyDescent="0.3">
      <c r="A272" s="11">
        <v>271</v>
      </c>
      <c r="B272" s="13">
        <v>40555</v>
      </c>
      <c r="C272" s="11">
        <v>1</v>
      </c>
      <c r="D272" s="11">
        <v>17</v>
      </c>
      <c r="E272" s="1" t="b">
        <v>0</v>
      </c>
      <c r="F272" s="11">
        <v>3</v>
      </c>
      <c r="G272" s="11">
        <v>1</v>
      </c>
      <c r="H272" s="10">
        <v>0.2</v>
      </c>
    </row>
    <row r="273" spans="1:8" x14ac:dyDescent="0.3">
      <c r="A273" s="11">
        <v>272</v>
      </c>
      <c r="B273" s="13">
        <v>40555</v>
      </c>
      <c r="C273" s="11">
        <v>1</v>
      </c>
      <c r="D273" s="11">
        <v>18</v>
      </c>
      <c r="E273" s="1" t="b">
        <v>0</v>
      </c>
      <c r="F273" s="11">
        <v>3</v>
      </c>
      <c r="G273" s="11">
        <v>1</v>
      </c>
      <c r="H273" s="10">
        <v>0.2</v>
      </c>
    </row>
    <row r="274" spans="1:8" x14ac:dyDescent="0.3">
      <c r="A274" s="11">
        <v>273</v>
      </c>
      <c r="B274" s="13">
        <v>40555</v>
      </c>
      <c r="C274" s="11">
        <v>1</v>
      </c>
      <c r="D274" s="11">
        <v>19</v>
      </c>
      <c r="E274" s="1" t="b">
        <v>0</v>
      </c>
      <c r="F274" s="11">
        <v>3</v>
      </c>
      <c r="G274" s="11">
        <v>1</v>
      </c>
      <c r="H274" s="10">
        <v>0.18</v>
      </c>
    </row>
    <row r="275" spans="1:8" x14ac:dyDescent="0.3">
      <c r="A275" s="11">
        <v>274</v>
      </c>
      <c r="B275" s="13">
        <v>40555</v>
      </c>
      <c r="C275" s="11">
        <v>1</v>
      </c>
      <c r="D275" s="11">
        <v>20</v>
      </c>
      <c r="E275" s="1" t="b">
        <v>0</v>
      </c>
      <c r="F275" s="11">
        <v>3</v>
      </c>
      <c r="G275" s="11">
        <v>1</v>
      </c>
      <c r="H275" s="10">
        <v>0.16</v>
      </c>
    </row>
    <row r="276" spans="1:8" x14ac:dyDescent="0.3">
      <c r="A276" s="11">
        <v>275</v>
      </c>
      <c r="B276" s="13">
        <v>40555</v>
      </c>
      <c r="C276" s="11">
        <v>1</v>
      </c>
      <c r="D276" s="11">
        <v>21</v>
      </c>
      <c r="E276" s="1" t="b">
        <v>0</v>
      </c>
      <c r="F276" s="11">
        <v>3</v>
      </c>
      <c r="G276" s="11">
        <v>1</v>
      </c>
      <c r="H276" s="10">
        <v>0.16</v>
      </c>
    </row>
    <row r="277" spans="1:8" x14ac:dyDescent="0.3">
      <c r="A277" s="11">
        <v>276</v>
      </c>
      <c r="B277" s="13">
        <v>40555</v>
      </c>
      <c r="C277" s="11">
        <v>1</v>
      </c>
      <c r="D277" s="11">
        <v>22</v>
      </c>
      <c r="E277" s="1" t="b">
        <v>0</v>
      </c>
      <c r="F277" s="11">
        <v>3</v>
      </c>
      <c r="G277" s="11">
        <v>1</v>
      </c>
      <c r="H277" s="10">
        <v>0.16</v>
      </c>
    </row>
    <row r="278" spans="1:8" x14ac:dyDescent="0.3">
      <c r="A278" s="11">
        <v>277</v>
      </c>
      <c r="B278" s="13">
        <v>40555</v>
      </c>
      <c r="C278" s="11">
        <v>1</v>
      </c>
      <c r="D278" s="11">
        <v>23</v>
      </c>
      <c r="E278" s="1" t="b">
        <v>0</v>
      </c>
      <c r="F278" s="11">
        <v>3</v>
      </c>
      <c r="G278" s="11">
        <v>1</v>
      </c>
      <c r="H278" s="10">
        <v>0.14000000000000001</v>
      </c>
    </row>
    <row r="279" spans="1:8" x14ac:dyDescent="0.3">
      <c r="A279" s="11">
        <v>278</v>
      </c>
      <c r="B279" s="13">
        <v>40556</v>
      </c>
      <c r="C279" s="11">
        <v>1</v>
      </c>
      <c r="D279" s="11">
        <v>0</v>
      </c>
      <c r="E279" s="1" t="b">
        <v>0</v>
      </c>
      <c r="F279" s="11">
        <v>4</v>
      </c>
      <c r="G279" s="11">
        <v>1</v>
      </c>
      <c r="H279" s="10">
        <v>0.14000000000000001</v>
      </c>
    </row>
    <row r="280" spans="1:8" x14ac:dyDescent="0.3">
      <c r="A280" s="11">
        <v>279</v>
      </c>
      <c r="B280" s="13">
        <v>40556</v>
      </c>
      <c r="C280" s="11">
        <v>1</v>
      </c>
      <c r="D280" s="11">
        <v>1</v>
      </c>
      <c r="E280" s="1" t="b">
        <v>0</v>
      </c>
      <c r="F280" s="11">
        <v>4</v>
      </c>
      <c r="G280" s="11">
        <v>1</v>
      </c>
      <c r="H280" s="10">
        <v>0.14000000000000001</v>
      </c>
    </row>
    <row r="281" spans="1:8" x14ac:dyDescent="0.3">
      <c r="A281" s="11">
        <v>280</v>
      </c>
      <c r="B281" s="13">
        <v>40556</v>
      </c>
      <c r="C281" s="11">
        <v>1</v>
      </c>
      <c r="D281" s="11">
        <v>2</v>
      </c>
      <c r="E281" s="1" t="b">
        <v>0</v>
      </c>
      <c r="F281" s="11">
        <v>4</v>
      </c>
      <c r="G281" s="11">
        <v>1</v>
      </c>
      <c r="H281" s="10">
        <v>0.14000000000000001</v>
      </c>
    </row>
    <row r="282" spans="1:8" x14ac:dyDescent="0.3">
      <c r="A282" s="11">
        <v>281</v>
      </c>
      <c r="B282" s="13">
        <v>40556</v>
      </c>
      <c r="C282" s="11">
        <v>1</v>
      </c>
      <c r="D282" s="11">
        <v>3</v>
      </c>
      <c r="E282" s="1" t="b">
        <v>0</v>
      </c>
      <c r="F282" s="11">
        <v>4</v>
      </c>
      <c r="G282" s="11">
        <v>1</v>
      </c>
      <c r="H282" s="10">
        <v>0.14000000000000001</v>
      </c>
    </row>
    <row r="283" spans="1:8" x14ac:dyDescent="0.3">
      <c r="A283" s="11">
        <v>282</v>
      </c>
      <c r="B283" s="13">
        <v>40556</v>
      </c>
      <c r="C283" s="11">
        <v>1</v>
      </c>
      <c r="D283" s="11">
        <v>4</v>
      </c>
      <c r="E283" s="1" t="b">
        <v>0</v>
      </c>
      <c r="F283" s="11">
        <v>4</v>
      </c>
      <c r="G283" s="11">
        <v>1</v>
      </c>
      <c r="H283" s="10">
        <v>0.14000000000000001</v>
      </c>
    </row>
    <row r="284" spans="1:8" x14ac:dyDescent="0.3">
      <c r="A284" s="11">
        <v>283</v>
      </c>
      <c r="B284" s="13">
        <v>40556</v>
      </c>
      <c r="C284" s="11">
        <v>1</v>
      </c>
      <c r="D284" s="11">
        <v>5</v>
      </c>
      <c r="E284" s="1" t="b">
        <v>0</v>
      </c>
      <c r="F284" s="11">
        <v>4</v>
      </c>
      <c r="G284" s="11">
        <v>1</v>
      </c>
      <c r="H284" s="10">
        <v>0.14000000000000001</v>
      </c>
    </row>
    <row r="285" spans="1:8" x14ac:dyDescent="0.3">
      <c r="A285" s="11">
        <v>284</v>
      </c>
      <c r="B285" s="13">
        <v>40556</v>
      </c>
      <c r="C285" s="11">
        <v>1</v>
      </c>
      <c r="D285" s="11">
        <v>6</v>
      </c>
      <c r="E285" s="1" t="b">
        <v>0</v>
      </c>
      <c r="F285" s="11">
        <v>4</v>
      </c>
      <c r="G285" s="11">
        <v>1</v>
      </c>
      <c r="H285" s="10">
        <v>0.12</v>
      </c>
    </row>
    <row r="286" spans="1:8" x14ac:dyDescent="0.3">
      <c r="A286" s="11">
        <v>285</v>
      </c>
      <c r="B286" s="13">
        <v>40556</v>
      </c>
      <c r="C286" s="11">
        <v>1</v>
      </c>
      <c r="D286" s="11">
        <v>7</v>
      </c>
      <c r="E286" s="1" t="b">
        <v>0</v>
      </c>
      <c r="F286" s="11">
        <v>4</v>
      </c>
      <c r="G286" s="11">
        <v>1</v>
      </c>
      <c r="H286" s="10">
        <v>0.12</v>
      </c>
    </row>
    <row r="287" spans="1:8" x14ac:dyDescent="0.3">
      <c r="A287" s="11">
        <v>286</v>
      </c>
      <c r="B287" s="13">
        <v>40556</v>
      </c>
      <c r="C287" s="11">
        <v>1</v>
      </c>
      <c r="D287" s="11">
        <v>8</v>
      </c>
      <c r="E287" s="1" t="b">
        <v>0</v>
      </c>
      <c r="F287" s="11">
        <v>4</v>
      </c>
      <c r="G287" s="11">
        <v>1</v>
      </c>
      <c r="H287" s="10">
        <v>0.14000000000000001</v>
      </c>
    </row>
    <row r="288" spans="1:8" x14ac:dyDescent="0.3">
      <c r="A288" s="11">
        <v>287</v>
      </c>
      <c r="B288" s="13">
        <v>40556</v>
      </c>
      <c r="C288" s="11">
        <v>1</v>
      </c>
      <c r="D288" s="11">
        <v>9</v>
      </c>
      <c r="E288" s="1" t="b">
        <v>0</v>
      </c>
      <c r="F288" s="11">
        <v>4</v>
      </c>
      <c r="G288" s="11">
        <v>1</v>
      </c>
      <c r="H288" s="10">
        <v>0.14000000000000001</v>
      </c>
    </row>
    <row r="289" spans="1:8" x14ac:dyDescent="0.3">
      <c r="A289" s="11">
        <v>288</v>
      </c>
      <c r="B289" s="13">
        <v>40556</v>
      </c>
      <c r="C289" s="11">
        <v>1</v>
      </c>
      <c r="D289" s="11">
        <v>10</v>
      </c>
      <c r="E289" s="1" t="b">
        <v>0</v>
      </c>
      <c r="F289" s="11">
        <v>4</v>
      </c>
      <c r="G289" s="11">
        <v>2</v>
      </c>
      <c r="H289" s="10">
        <v>0.16</v>
      </c>
    </row>
    <row r="290" spans="1:8" x14ac:dyDescent="0.3">
      <c r="A290" s="11">
        <v>289</v>
      </c>
      <c r="B290" s="13">
        <v>40556</v>
      </c>
      <c r="C290" s="11">
        <v>1</v>
      </c>
      <c r="D290" s="11">
        <v>11</v>
      </c>
      <c r="E290" s="1" t="b">
        <v>0</v>
      </c>
      <c r="F290" s="11">
        <v>4</v>
      </c>
      <c r="G290" s="11">
        <v>2</v>
      </c>
      <c r="H290" s="10">
        <v>0.2</v>
      </c>
    </row>
    <row r="291" spans="1:8" x14ac:dyDescent="0.3">
      <c r="A291" s="11">
        <v>290</v>
      </c>
      <c r="B291" s="13">
        <v>40556</v>
      </c>
      <c r="C291" s="11">
        <v>1</v>
      </c>
      <c r="D291" s="11">
        <v>12</v>
      </c>
      <c r="E291" s="1" t="b">
        <v>0</v>
      </c>
      <c r="F291" s="11">
        <v>4</v>
      </c>
      <c r="G291" s="11">
        <v>1</v>
      </c>
      <c r="H291" s="10">
        <v>0.2</v>
      </c>
    </row>
    <row r="292" spans="1:8" x14ac:dyDescent="0.3">
      <c r="A292" s="11">
        <v>291</v>
      </c>
      <c r="B292" s="13">
        <v>40556</v>
      </c>
      <c r="C292" s="11">
        <v>1</v>
      </c>
      <c r="D292" s="11">
        <v>13</v>
      </c>
      <c r="E292" s="1" t="b">
        <v>0</v>
      </c>
      <c r="F292" s="11">
        <v>4</v>
      </c>
      <c r="G292" s="11">
        <v>1</v>
      </c>
      <c r="H292" s="10">
        <v>0.22</v>
      </c>
    </row>
    <row r="293" spans="1:8" x14ac:dyDescent="0.3">
      <c r="A293" s="11">
        <v>292</v>
      </c>
      <c r="B293" s="13">
        <v>40556</v>
      </c>
      <c r="C293" s="11">
        <v>1</v>
      </c>
      <c r="D293" s="11">
        <v>14</v>
      </c>
      <c r="E293" s="1" t="b">
        <v>0</v>
      </c>
      <c r="F293" s="11">
        <v>4</v>
      </c>
      <c r="G293" s="11">
        <v>1</v>
      </c>
      <c r="H293" s="10">
        <v>0.22</v>
      </c>
    </row>
    <row r="294" spans="1:8" x14ac:dyDescent="0.3">
      <c r="A294" s="11">
        <v>293</v>
      </c>
      <c r="B294" s="13">
        <v>40556</v>
      </c>
      <c r="C294" s="11">
        <v>1</v>
      </c>
      <c r="D294" s="11">
        <v>15</v>
      </c>
      <c r="E294" s="1" t="b">
        <v>0</v>
      </c>
      <c r="F294" s="11">
        <v>4</v>
      </c>
      <c r="G294" s="11">
        <v>1</v>
      </c>
      <c r="H294" s="10">
        <v>0.24</v>
      </c>
    </row>
    <row r="295" spans="1:8" x14ac:dyDescent="0.3">
      <c r="A295" s="11">
        <v>294</v>
      </c>
      <c r="B295" s="13">
        <v>40556</v>
      </c>
      <c r="C295" s="11">
        <v>1</v>
      </c>
      <c r="D295" s="11">
        <v>16</v>
      </c>
      <c r="E295" s="1" t="b">
        <v>0</v>
      </c>
      <c r="F295" s="11">
        <v>4</v>
      </c>
      <c r="G295" s="11">
        <v>1</v>
      </c>
      <c r="H295" s="10">
        <v>0.24</v>
      </c>
    </row>
    <row r="296" spans="1:8" x14ac:dyDescent="0.3">
      <c r="A296" s="11">
        <v>295</v>
      </c>
      <c r="B296" s="13">
        <v>40556</v>
      </c>
      <c r="C296" s="11">
        <v>1</v>
      </c>
      <c r="D296" s="11">
        <v>17</v>
      </c>
      <c r="E296" s="1" t="b">
        <v>0</v>
      </c>
      <c r="F296" s="11">
        <v>4</v>
      </c>
      <c r="G296" s="11">
        <v>1</v>
      </c>
      <c r="H296" s="10">
        <v>0.2</v>
      </c>
    </row>
    <row r="297" spans="1:8" x14ac:dyDescent="0.3">
      <c r="A297" s="11">
        <v>296</v>
      </c>
      <c r="B297" s="13">
        <v>40556</v>
      </c>
      <c r="C297" s="11">
        <v>1</v>
      </c>
      <c r="D297" s="11">
        <v>18</v>
      </c>
      <c r="E297" s="1" t="b">
        <v>0</v>
      </c>
      <c r="F297" s="11">
        <v>4</v>
      </c>
      <c r="G297" s="11">
        <v>1</v>
      </c>
      <c r="H297" s="10">
        <v>0.2</v>
      </c>
    </row>
    <row r="298" spans="1:8" x14ac:dyDescent="0.3">
      <c r="A298" s="11">
        <v>297</v>
      </c>
      <c r="B298" s="13">
        <v>40556</v>
      </c>
      <c r="C298" s="11">
        <v>1</v>
      </c>
      <c r="D298" s="11">
        <v>19</v>
      </c>
      <c r="E298" s="1" t="b">
        <v>0</v>
      </c>
      <c r="F298" s="11">
        <v>4</v>
      </c>
      <c r="G298" s="11">
        <v>1</v>
      </c>
      <c r="H298" s="10">
        <v>0.16</v>
      </c>
    </row>
    <row r="299" spans="1:8" x14ac:dyDescent="0.3">
      <c r="A299" s="11">
        <v>298</v>
      </c>
      <c r="B299" s="13">
        <v>40556</v>
      </c>
      <c r="C299" s="11">
        <v>1</v>
      </c>
      <c r="D299" s="11">
        <v>20</v>
      </c>
      <c r="E299" s="1" t="b">
        <v>0</v>
      </c>
      <c r="F299" s="11">
        <v>4</v>
      </c>
      <c r="G299" s="11">
        <v>1</v>
      </c>
      <c r="H299" s="10">
        <v>0.16</v>
      </c>
    </row>
    <row r="300" spans="1:8" x14ac:dyDescent="0.3">
      <c r="A300" s="11">
        <v>299</v>
      </c>
      <c r="B300" s="13">
        <v>40556</v>
      </c>
      <c r="C300" s="11">
        <v>1</v>
      </c>
      <c r="D300" s="11">
        <v>21</v>
      </c>
      <c r="E300" s="1" t="b">
        <v>0</v>
      </c>
      <c r="F300" s="11">
        <v>4</v>
      </c>
      <c r="G300" s="11">
        <v>1</v>
      </c>
      <c r="H300" s="10">
        <v>0.14000000000000001</v>
      </c>
    </row>
    <row r="301" spans="1:8" x14ac:dyDescent="0.3">
      <c r="A301" s="11">
        <v>300</v>
      </c>
      <c r="B301" s="13">
        <v>40556</v>
      </c>
      <c r="C301" s="11">
        <v>1</v>
      </c>
      <c r="D301" s="11">
        <v>22</v>
      </c>
      <c r="E301" s="1" t="b">
        <v>0</v>
      </c>
      <c r="F301" s="11">
        <v>4</v>
      </c>
      <c r="G301" s="11">
        <v>1</v>
      </c>
      <c r="H301" s="10">
        <v>0.14000000000000001</v>
      </c>
    </row>
    <row r="302" spans="1:8" x14ac:dyDescent="0.3">
      <c r="A302" s="11">
        <v>301</v>
      </c>
      <c r="B302" s="13">
        <v>40556</v>
      </c>
      <c r="C302" s="11">
        <v>1</v>
      </c>
      <c r="D302" s="11">
        <v>23</v>
      </c>
      <c r="E302" s="1" t="b">
        <v>0</v>
      </c>
      <c r="F302" s="11">
        <v>4</v>
      </c>
      <c r="G302" s="11">
        <v>1</v>
      </c>
      <c r="H302" s="10">
        <v>0.12</v>
      </c>
    </row>
    <row r="303" spans="1:8" x14ac:dyDescent="0.3">
      <c r="A303" s="11">
        <v>302</v>
      </c>
      <c r="B303" s="13">
        <v>40557</v>
      </c>
      <c r="C303" s="11">
        <v>1</v>
      </c>
      <c r="D303" s="11">
        <v>0</v>
      </c>
      <c r="E303" s="1" t="b">
        <v>0</v>
      </c>
      <c r="F303" s="11">
        <v>5</v>
      </c>
      <c r="G303" s="11">
        <v>1</v>
      </c>
      <c r="H303" s="10">
        <v>0.12</v>
      </c>
    </row>
    <row r="304" spans="1:8" x14ac:dyDescent="0.3">
      <c r="A304" s="11">
        <v>303</v>
      </c>
      <c r="B304" s="13">
        <v>40557</v>
      </c>
      <c r="C304" s="11">
        <v>1</v>
      </c>
      <c r="D304" s="11">
        <v>1</v>
      </c>
      <c r="E304" s="1" t="b">
        <v>0</v>
      </c>
      <c r="F304" s="11">
        <v>5</v>
      </c>
      <c r="G304" s="11">
        <v>1</v>
      </c>
      <c r="H304" s="10">
        <v>0.1</v>
      </c>
    </row>
    <row r="305" spans="1:8" x14ac:dyDescent="0.3">
      <c r="A305" s="11">
        <v>304</v>
      </c>
      <c r="B305" s="13">
        <v>40557</v>
      </c>
      <c r="C305" s="11">
        <v>1</v>
      </c>
      <c r="D305" s="11">
        <v>2</v>
      </c>
      <c r="E305" s="1" t="b">
        <v>0</v>
      </c>
      <c r="F305" s="11">
        <v>5</v>
      </c>
      <c r="G305" s="11">
        <v>1</v>
      </c>
      <c r="H305" s="10">
        <v>0.1</v>
      </c>
    </row>
    <row r="306" spans="1:8" x14ac:dyDescent="0.3">
      <c r="A306" s="11">
        <v>305</v>
      </c>
      <c r="B306" s="13">
        <v>40557</v>
      </c>
      <c r="C306" s="11">
        <v>1</v>
      </c>
      <c r="D306" s="11">
        <v>3</v>
      </c>
      <c r="E306" s="1" t="b">
        <v>0</v>
      </c>
      <c r="F306" s="11">
        <v>5</v>
      </c>
      <c r="G306" s="11">
        <v>1</v>
      </c>
      <c r="H306" s="10">
        <v>0.1</v>
      </c>
    </row>
    <row r="307" spans="1:8" x14ac:dyDescent="0.3">
      <c r="A307" s="11">
        <v>306</v>
      </c>
      <c r="B307" s="13">
        <v>40557</v>
      </c>
      <c r="C307" s="11">
        <v>1</v>
      </c>
      <c r="D307" s="11">
        <v>5</v>
      </c>
      <c r="E307" s="1" t="b">
        <v>0</v>
      </c>
      <c r="F307" s="11">
        <v>5</v>
      </c>
      <c r="G307" s="11">
        <v>1</v>
      </c>
      <c r="H307" s="10">
        <v>0.1</v>
      </c>
    </row>
    <row r="308" spans="1:8" x14ac:dyDescent="0.3">
      <c r="A308" s="11">
        <v>307</v>
      </c>
      <c r="B308" s="13">
        <v>40557</v>
      </c>
      <c r="C308" s="11">
        <v>1</v>
      </c>
      <c r="D308" s="11">
        <v>6</v>
      </c>
      <c r="E308" s="1" t="b">
        <v>0</v>
      </c>
      <c r="F308" s="11">
        <v>5</v>
      </c>
      <c r="G308" s="11">
        <v>1</v>
      </c>
      <c r="H308" s="10">
        <v>0.1</v>
      </c>
    </row>
    <row r="309" spans="1:8" x14ac:dyDescent="0.3">
      <c r="A309" s="11">
        <v>308</v>
      </c>
      <c r="B309" s="13">
        <v>40557</v>
      </c>
      <c r="C309" s="11">
        <v>1</v>
      </c>
      <c r="D309" s="11">
        <v>7</v>
      </c>
      <c r="E309" s="1" t="b">
        <v>0</v>
      </c>
      <c r="F309" s="11">
        <v>5</v>
      </c>
      <c r="G309" s="11">
        <v>1</v>
      </c>
      <c r="H309" s="10">
        <v>0.1</v>
      </c>
    </row>
    <row r="310" spans="1:8" x14ac:dyDescent="0.3">
      <c r="A310" s="11">
        <v>309</v>
      </c>
      <c r="B310" s="13">
        <v>40557</v>
      </c>
      <c r="C310" s="11">
        <v>1</v>
      </c>
      <c r="D310" s="11">
        <v>8</v>
      </c>
      <c r="E310" s="1" t="b">
        <v>0</v>
      </c>
      <c r="F310" s="11">
        <v>5</v>
      </c>
      <c r="G310" s="11">
        <v>1</v>
      </c>
      <c r="H310" s="10">
        <v>0.12</v>
      </c>
    </row>
    <row r="311" spans="1:8" x14ac:dyDescent="0.3">
      <c r="A311" s="11">
        <v>310</v>
      </c>
      <c r="B311" s="13">
        <v>40557</v>
      </c>
      <c r="C311" s="11">
        <v>1</v>
      </c>
      <c r="D311" s="11">
        <v>9</v>
      </c>
      <c r="E311" s="1" t="b">
        <v>0</v>
      </c>
      <c r="F311" s="11">
        <v>5</v>
      </c>
      <c r="G311" s="11">
        <v>1</v>
      </c>
      <c r="H311" s="10">
        <v>0.14000000000000001</v>
      </c>
    </row>
    <row r="312" spans="1:8" x14ac:dyDescent="0.3">
      <c r="A312" s="11">
        <v>311</v>
      </c>
      <c r="B312" s="13">
        <v>40557</v>
      </c>
      <c r="C312" s="11">
        <v>1</v>
      </c>
      <c r="D312" s="11">
        <v>10</v>
      </c>
      <c r="E312" s="1" t="b">
        <v>0</v>
      </c>
      <c r="F312" s="11">
        <v>5</v>
      </c>
      <c r="G312" s="11">
        <v>1</v>
      </c>
      <c r="H312" s="10">
        <v>0.18</v>
      </c>
    </row>
    <row r="313" spans="1:8" x14ac:dyDescent="0.3">
      <c r="A313" s="11">
        <v>312</v>
      </c>
      <c r="B313" s="13">
        <v>40557</v>
      </c>
      <c r="C313" s="11">
        <v>1</v>
      </c>
      <c r="D313" s="11">
        <v>11</v>
      </c>
      <c r="E313" s="1" t="b">
        <v>0</v>
      </c>
      <c r="F313" s="11">
        <v>5</v>
      </c>
      <c r="G313" s="11">
        <v>1</v>
      </c>
      <c r="H313" s="10">
        <v>0.18</v>
      </c>
    </row>
    <row r="314" spans="1:8" x14ac:dyDescent="0.3">
      <c r="A314" s="11">
        <v>313</v>
      </c>
      <c r="B314" s="13">
        <v>40557</v>
      </c>
      <c r="C314" s="11">
        <v>1</v>
      </c>
      <c r="D314" s="11">
        <v>12</v>
      </c>
      <c r="E314" s="1" t="b">
        <v>0</v>
      </c>
      <c r="F314" s="11">
        <v>5</v>
      </c>
      <c r="G314" s="11">
        <v>1</v>
      </c>
      <c r="H314" s="10">
        <v>0.2</v>
      </c>
    </row>
    <row r="315" spans="1:8" x14ac:dyDescent="0.3">
      <c r="A315" s="11">
        <v>314</v>
      </c>
      <c r="B315" s="13">
        <v>40557</v>
      </c>
      <c r="C315" s="11">
        <v>1</v>
      </c>
      <c r="D315" s="11">
        <v>13</v>
      </c>
      <c r="E315" s="1" t="b">
        <v>0</v>
      </c>
      <c r="F315" s="11">
        <v>5</v>
      </c>
      <c r="G315" s="11">
        <v>1</v>
      </c>
      <c r="H315" s="10">
        <v>0.22</v>
      </c>
    </row>
    <row r="316" spans="1:8" x14ac:dyDescent="0.3">
      <c r="A316" s="11">
        <v>315</v>
      </c>
      <c r="B316" s="13">
        <v>40557</v>
      </c>
      <c r="C316" s="11">
        <v>1</v>
      </c>
      <c r="D316" s="11">
        <v>14</v>
      </c>
      <c r="E316" s="1" t="b">
        <v>0</v>
      </c>
      <c r="F316" s="11">
        <v>5</v>
      </c>
      <c r="G316" s="11">
        <v>1</v>
      </c>
      <c r="H316" s="10">
        <v>0.22</v>
      </c>
    </row>
    <row r="317" spans="1:8" x14ac:dyDescent="0.3">
      <c r="A317" s="11">
        <v>316</v>
      </c>
      <c r="B317" s="13">
        <v>40557</v>
      </c>
      <c r="C317" s="11">
        <v>1</v>
      </c>
      <c r="D317" s="11">
        <v>15</v>
      </c>
      <c r="E317" s="1" t="b">
        <v>0</v>
      </c>
      <c r="F317" s="11">
        <v>5</v>
      </c>
      <c r="G317" s="11">
        <v>1</v>
      </c>
      <c r="H317" s="10">
        <v>0.24</v>
      </c>
    </row>
    <row r="318" spans="1:8" x14ac:dyDescent="0.3">
      <c r="A318" s="11">
        <v>317</v>
      </c>
      <c r="B318" s="13">
        <v>40557</v>
      </c>
      <c r="C318" s="11">
        <v>1</v>
      </c>
      <c r="D318" s="11">
        <v>16</v>
      </c>
      <c r="E318" s="1" t="b">
        <v>0</v>
      </c>
      <c r="F318" s="11">
        <v>5</v>
      </c>
      <c r="G318" s="11">
        <v>1</v>
      </c>
      <c r="H318" s="10">
        <v>0.22</v>
      </c>
    </row>
    <row r="319" spans="1:8" x14ac:dyDescent="0.3">
      <c r="A319" s="11">
        <v>318</v>
      </c>
      <c r="B319" s="13">
        <v>40557</v>
      </c>
      <c r="C319" s="11">
        <v>1</v>
      </c>
      <c r="D319" s="11">
        <v>17</v>
      </c>
      <c r="E319" s="1" t="b">
        <v>0</v>
      </c>
      <c r="F319" s="11">
        <v>5</v>
      </c>
      <c r="G319" s="11">
        <v>1</v>
      </c>
      <c r="H319" s="10">
        <v>0.22</v>
      </c>
    </row>
    <row r="320" spans="1:8" x14ac:dyDescent="0.3">
      <c r="A320" s="11">
        <v>319</v>
      </c>
      <c r="B320" s="13">
        <v>40557</v>
      </c>
      <c r="C320" s="11">
        <v>1</v>
      </c>
      <c r="D320" s="11">
        <v>18</v>
      </c>
      <c r="E320" s="1" t="b">
        <v>0</v>
      </c>
      <c r="F320" s="11">
        <v>5</v>
      </c>
      <c r="G320" s="11">
        <v>1</v>
      </c>
      <c r="H320" s="10">
        <v>0.2</v>
      </c>
    </row>
    <row r="321" spans="1:8" x14ac:dyDescent="0.3">
      <c r="A321" s="11">
        <v>320</v>
      </c>
      <c r="B321" s="13">
        <v>40557</v>
      </c>
      <c r="C321" s="11">
        <v>1</v>
      </c>
      <c r="D321" s="11">
        <v>19</v>
      </c>
      <c r="E321" s="1" t="b">
        <v>0</v>
      </c>
      <c r="F321" s="11">
        <v>5</v>
      </c>
      <c r="G321" s="11">
        <v>1</v>
      </c>
      <c r="H321" s="10">
        <v>0.16</v>
      </c>
    </row>
    <row r="322" spans="1:8" x14ac:dyDescent="0.3">
      <c r="A322" s="11">
        <v>321</v>
      </c>
      <c r="B322" s="13">
        <v>40557</v>
      </c>
      <c r="C322" s="11">
        <v>1</v>
      </c>
      <c r="D322" s="11">
        <v>20</v>
      </c>
      <c r="E322" s="1" t="b">
        <v>0</v>
      </c>
      <c r="F322" s="11">
        <v>5</v>
      </c>
      <c r="G322" s="11">
        <v>1</v>
      </c>
      <c r="H322" s="10">
        <v>0.18</v>
      </c>
    </row>
    <row r="323" spans="1:8" x14ac:dyDescent="0.3">
      <c r="A323" s="11">
        <v>322</v>
      </c>
      <c r="B323" s="13">
        <v>40557</v>
      </c>
      <c r="C323" s="11">
        <v>1</v>
      </c>
      <c r="D323" s="11">
        <v>21</v>
      </c>
      <c r="E323" s="1" t="b">
        <v>0</v>
      </c>
      <c r="F323" s="11">
        <v>5</v>
      </c>
      <c r="G323" s="11">
        <v>1</v>
      </c>
      <c r="H323" s="10">
        <v>0.16</v>
      </c>
    </row>
    <row r="324" spans="1:8" x14ac:dyDescent="0.3">
      <c r="A324" s="11">
        <v>323</v>
      </c>
      <c r="B324" s="13">
        <v>40557</v>
      </c>
      <c r="C324" s="11">
        <v>1</v>
      </c>
      <c r="D324" s="11">
        <v>22</v>
      </c>
      <c r="E324" s="1" t="b">
        <v>0</v>
      </c>
      <c r="F324" s="11">
        <v>5</v>
      </c>
      <c r="G324" s="11">
        <v>2</v>
      </c>
      <c r="H324" s="10">
        <v>0.16</v>
      </c>
    </row>
    <row r="325" spans="1:8" x14ac:dyDescent="0.3">
      <c r="A325" s="11">
        <v>324</v>
      </c>
      <c r="B325" s="13">
        <v>40557</v>
      </c>
      <c r="C325" s="11">
        <v>1</v>
      </c>
      <c r="D325" s="11">
        <v>23</v>
      </c>
      <c r="E325" s="1" t="b">
        <v>0</v>
      </c>
      <c r="F325" s="11">
        <v>5</v>
      </c>
      <c r="G325" s="11">
        <v>2</v>
      </c>
      <c r="H325" s="10">
        <v>0.18</v>
      </c>
    </row>
    <row r="326" spans="1:8" x14ac:dyDescent="0.3">
      <c r="A326" s="11">
        <v>325</v>
      </c>
      <c r="B326" s="13">
        <v>40558</v>
      </c>
      <c r="C326" s="11">
        <v>1</v>
      </c>
      <c r="D326" s="11">
        <v>0</v>
      </c>
      <c r="E326" s="1" t="b">
        <v>0</v>
      </c>
      <c r="F326" s="11">
        <v>6</v>
      </c>
      <c r="G326" s="11">
        <v>1</v>
      </c>
      <c r="H326" s="10">
        <v>0.18</v>
      </c>
    </row>
    <row r="327" spans="1:8" x14ac:dyDescent="0.3">
      <c r="A327" s="11">
        <v>326</v>
      </c>
      <c r="B327" s="13">
        <v>40558</v>
      </c>
      <c r="C327" s="11">
        <v>1</v>
      </c>
      <c r="D327" s="11">
        <v>1</v>
      </c>
      <c r="E327" s="1" t="b">
        <v>0</v>
      </c>
      <c r="F327" s="11">
        <v>6</v>
      </c>
      <c r="G327" s="11">
        <v>2</v>
      </c>
      <c r="H327" s="10">
        <v>0.16</v>
      </c>
    </row>
    <row r="328" spans="1:8" x14ac:dyDescent="0.3">
      <c r="A328" s="11">
        <v>327</v>
      </c>
      <c r="B328" s="13">
        <v>40558</v>
      </c>
      <c r="C328" s="11">
        <v>1</v>
      </c>
      <c r="D328" s="11">
        <v>2</v>
      </c>
      <c r="E328" s="1" t="b">
        <v>0</v>
      </c>
      <c r="F328" s="11">
        <v>6</v>
      </c>
      <c r="G328" s="11">
        <v>2</v>
      </c>
      <c r="H328" s="10">
        <v>0.16</v>
      </c>
    </row>
    <row r="329" spans="1:8" x14ac:dyDescent="0.3">
      <c r="A329" s="11">
        <v>328</v>
      </c>
      <c r="B329" s="13">
        <v>40558</v>
      </c>
      <c r="C329" s="11">
        <v>1</v>
      </c>
      <c r="D329" s="11">
        <v>3</v>
      </c>
      <c r="E329" s="1" t="b">
        <v>0</v>
      </c>
      <c r="F329" s="11">
        <v>6</v>
      </c>
      <c r="G329" s="11">
        <v>2</v>
      </c>
      <c r="H329" s="10">
        <v>0.16</v>
      </c>
    </row>
    <row r="330" spans="1:8" x14ac:dyDescent="0.3">
      <c r="A330" s="11">
        <v>329</v>
      </c>
      <c r="B330" s="13">
        <v>40558</v>
      </c>
      <c r="C330" s="11">
        <v>1</v>
      </c>
      <c r="D330" s="11">
        <v>4</v>
      </c>
      <c r="E330" s="1" t="b">
        <v>0</v>
      </c>
      <c r="F330" s="11">
        <v>6</v>
      </c>
      <c r="G330" s="11">
        <v>2</v>
      </c>
      <c r="H330" s="10">
        <v>0.16</v>
      </c>
    </row>
    <row r="331" spans="1:8" x14ac:dyDescent="0.3">
      <c r="A331" s="11">
        <v>330</v>
      </c>
      <c r="B331" s="13">
        <v>40558</v>
      </c>
      <c r="C331" s="11">
        <v>1</v>
      </c>
      <c r="D331" s="11">
        <v>5</v>
      </c>
      <c r="E331" s="1" t="b">
        <v>0</v>
      </c>
      <c r="F331" s="11">
        <v>6</v>
      </c>
      <c r="G331" s="11">
        <v>1</v>
      </c>
      <c r="H331" s="10">
        <v>0.16</v>
      </c>
    </row>
    <row r="332" spans="1:8" x14ac:dyDescent="0.3">
      <c r="A332" s="11">
        <v>331</v>
      </c>
      <c r="B332" s="13">
        <v>40558</v>
      </c>
      <c r="C332" s="11">
        <v>1</v>
      </c>
      <c r="D332" s="11">
        <v>6</v>
      </c>
      <c r="E332" s="1" t="b">
        <v>0</v>
      </c>
      <c r="F332" s="11">
        <v>6</v>
      </c>
      <c r="G332" s="11">
        <v>1</v>
      </c>
      <c r="H332" s="10">
        <v>0.14000000000000001</v>
      </c>
    </row>
    <row r="333" spans="1:8" x14ac:dyDescent="0.3">
      <c r="A333" s="11">
        <v>332</v>
      </c>
      <c r="B333" s="13">
        <v>40558</v>
      </c>
      <c r="C333" s="11">
        <v>1</v>
      </c>
      <c r="D333" s="11">
        <v>7</v>
      </c>
      <c r="E333" s="1" t="b">
        <v>0</v>
      </c>
      <c r="F333" s="11">
        <v>6</v>
      </c>
      <c r="G333" s="11">
        <v>1</v>
      </c>
      <c r="H333" s="10">
        <v>0.14000000000000001</v>
      </c>
    </row>
    <row r="334" spans="1:8" x14ac:dyDescent="0.3">
      <c r="A334" s="11">
        <v>333</v>
      </c>
      <c r="B334" s="13">
        <v>40558</v>
      </c>
      <c r="C334" s="11">
        <v>1</v>
      </c>
      <c r="D334" s="11">
        <v>8</v>
      </c>
      <c r="E334" s="1" t="b">
        <v>0</v>
      </c>
      <c r="F334" s="11">
        <v>6</v>
      </c>
      <c r="G334" s="11">
        <v>1</v>
      </c>
      <c r="H334" s="10">
        <v>0.14000000000000001</v>
      </c>
    </row>
    <row r="335" spans="1:8" x14ac:dyDescent="0.3">
      <c r="A335" s="11">
        <v>334</v>
      </c>
      <c r="B335" s="13">
        <v>40558</v>
      </c>
      <c r="C335" s="11">
        <v>1</v>
      </c>
      <c r="D335" s="11">
        <v>9</v>
      </c>
      <c r="E335" s="1" t="b">
        <v>0</v>
      </c>
      <c r="F335" s="11">
        <v>6</v>
      </c>
      <c r="G335" s="11">
        <v>1</v>
      </c>
      <c r="H335" s="10">
        <v>0.16</v>
      </c>
    </row>
    <row r="336" spans="1:8" x14ac:dyDescent="0.3">
      <c r="A336" s="11">
        <v>335</v>
      </c>
      <c r="B336" s="13">
        <v>40558</v>
      </c>
      <c r="C336" s="11">
        <v>1</v>
      </c>
      <c r="D336" s="11">
        <v>10</v>
      </c>
      <c r="E336" s="1" t="b">
        <v>0</v>
      </c>
      <c r="F336" s="11">
        <v>6</v>
      </c>
      <c r="G336" s="11">
        <v>1</v>
      </c>
      <c r="H336" s="10">
        <v>0.18</v>
      </c>
    </row>
    <row r="337" spans="1:8" x14ac:dyDescent="0.3">
      <c r="A337" s="11">
        <v>336</v>
      </c>
      <c r="B337" s="13">
        <v>40558</v>
      </c>
      <c r="C337" s="11">
        <v>1</v>
      </c>
      <c r="D337" s="11">
        <v>11</v>
      </c>
      <c r="E337" s="1" t="b">
        <v>0</v>
      </c>
      <c r="F337" s="11">
        <v>6</v>
      </c>
      <c r="G337" s="11">
        <v>1</v>
      </c>
      <c r="H337" s="10">
        <v>0.2</v>
      </c>
    </row>
    <row r="338" spans="1:8" x14ac:dyDescent="0.3">
      <c r="A338" s="11">
        <v>337</v>
      </c>
      <c r="B338" s="13">
        <v>40558</v>
      </c>
      <c r="C338" s="11">
        <v>1</v>
      </c>
      <c r="D338" s="11">
        <v>12</v>
      </c>
      <c r="E338" s="1" t="b">
        <v>0</v>
      </c>
      <c r="F338" s="11">
        <v>6</v>
      </c>
      <c r="G338" s="11">
        <v>1</v>
      </c>
      <c r="H338" s="10">
        <v>0.24</v>
      </c>
    </row>
    <row r="339" spans="1:8" x14ac:dyDescent="0.3">
      <c r="A339" s="11">
        <v>338</v>
      </c>
      <c r="B339" s="13">
        <v>40558</v>
      </c>
      <c r="C339" s="11">
        <v>1</v>
      </c>
      <c r="D339" s="11">
        <v>13</v>
      </c>
      <c r="E339" s="1" t="b">
        <v>0</v>
      </c>
      <c r="F339" s="11">
        <v>6</v>
      </c>
      <c r="G339" s="11">
        <v>1</v>
      </c>
      <c r="H339" s="10">
        <v>0.28000000000000003</v>
      </c>
    </row>
    <row r="340" spans="1:8" x14ac:dyDescent="0.3">
      <c r="A340" s="11">
        <v>339</v>
      </c>
      <c r="B340" s="13">
        <v>40558</v>
      </c>
      <c r="C340" s="11">
        <v>1</v>
      </c>
      <c r="D340" s="11">
        <v>14</v>
      </c>
      <c r="E340" s="1" t="b">
        <v>0</v>
      </c>
      <c r="F340" s="11">
        <v>6</v>
      </c>
      <c r="G340" s="11">
        <v>1</v>
      </c>
      <c r="H340" s="10">
        <v>0.3</v>
      </c>
    </row>
    <row r="341" spans="1:8" x14ac:dyDescent="0.3">
      <c r="A341" s="11">
        <v>340</v>
      </c>
      <c r="B341" s="13">
        <v>40558</v>
      </c>
      <c r="C341" s="11">
        <v>1</v>
      </c>
      <c r="D341" s="11">
        <v>15</v>
      </c>
      <c r="E341" s="1" t="b">
        <v>0</v>
      </c>
      <c r="F341" s="11">
        <v>6</v>
      </c>
      <c r="G341" s="11">
        <v>2</v>
      </c>
      <c r="H341" s="10">
        <v>0.32</v>
      </c>
    </row>
    <row r="342" spans="1:8" x14ac:dyDescent="0.3">
      <c r="A342" s="11">
        <v>341</v>
      </c>
      <c r="B342" s="13">
        <v>40558</v>
      </c>
      <c r="C342" s="11">
        <v>1</v>
      </c>
      <c r="D342" s="11">
        <v>16</v>
      </c>
      <c r="E342" s="1" t="b">
        <v>0</v>
      </c>
      <c r="F342" s="11">
        <v>6</v>
      </c>
      <c r="G342" s="11">
        <v>2</v>
      </c>
      <c r="H342" s="10">
        <v>0.34</v>
      </c>
    </row>
    <row r="343" spans="1:8" x14ac:dyDescent="0.3">
      <c r="A343" s="11">
        <v>342</v>
      </c>
      <c r="B343" s="13">
        <v>40558</v>
      </c>
      <c r="C343" s="11">
        <v>1</v>
      </c>
      <c r="D343" s="11">
        <v>17</v>
      </c>
      <c r="E343" s="1" t="b">
        <v>0</v>
      </c>
      <c r="F343" s="11">
        <v>6</v>
      </c>
      <c r="G343" s="11">
        <v>2</v>
      </c>
      <c r="H343" s="10">
        <v>0.32</v>
      </c>
    </row>
    <row r="344" spans="1:8" x14ac:dyDescent="0.3">
      <c r="A344" s="11">
        <v>343</v>
      </c>
      <c r="B344" s="13">
        <v>40558</v>
      </c>
      <c r="C344" s="11">
        <v>1</v>
      </c>
      <c r="D344" s="11">
        <v>18</v>
      </c>
      <c r="E344" s="1" t="b">
        <v>0</v>
      </c>
      <c r="F344" s="11">
        <v>6</v>
      </c>
      <c r="G344" s="11">
        <v>2</v>
      </c>
      <c r="H344" s="10">
        <v>0.3</v>
      </c>
    </row>
    <row r="345" spans="1:8" x14ac:dyDescent="0.3">
      <c r="A345" s="11">
        <v>344</v>
      </c>
      <c r="B345" s="13">
        <v>40558</v>
      </c>
      <c r="C345" s="11">
        <v>1</v>
      </c>
      <c r="D345" s="11">
        <v>19</v>
      </c>
      <c r="E345" s="1" t="b">
        <v>0</v>
      </c>
      <c r="F345" s="11">
        <v>6</v>
      </c>
      <c r="G345" s="11">
        <v>2</v>
      </c>
      <c r="H345" s="10">
        <v>0.32</v>
      </c>
    </row>
    <row r="346" spans="1:8" x14ac:dyDescent="0.3">
      <c r="A346" s="11">
        <v>345</v>
      </c>
      <c r="B346" s="13">
        <v>40558</v>
      </c>
      <c r="C346" s="11">
        <v>1</v>
      </c>
      <c r="D346" s="11">
        <v>20</v>
      </c>
      <c r="E346" s="1" t="b">
        <v>0</v>
      </c>
      <c r="F346" s="11">
        <v>6</v>
      </c>
      <c r="G346" s="11">
        <v>2</v>
      </c>
      <c r="H346" s="10">
        <v>0.32</v>
      </c>
    </row>
    <row r="347" spans="1:8" x14ac:dyDescent="0.3">
      <c r="A347" s="11">
        <v>346</v>
      </c>
      <c r="B347" s="13">
        <v>40558</v>
      </c>
      <c r="C347" s="11">
        <v>1</v>
      </c>
      <c r="D347" s="11">
        <v>21</v>
      </c>
      <c r="E347" s="1" t="b">
        <v>0</v>
      </c>
      <c r="F347" s="11">
        <v>6</v>
      </c>
      <c r="G347" s="11">
        <v>2</v>
      </c>
      <c r="H347" s="10">
        <v>0.32</v>
      </c>
    </row>
    <row r="348" spans="1:8" x14ac:dyDescent="0.3">
      <c r="A348" s="11">
        <v>347</v>
      </c>
      <c r="B348" s="13">
        <v>40558</v>
      </c>
      <c r="C348" s="11">
        <v>1</v>
      </c>
      <c r="D348" s="11">
        <v>22</v>
      </c>
      <c r="E348" s="1" t="b">
        <v>0</v>
      </c>
      <c r="F348" s="11">
        <v>6</v>
      </c>
      <c r="G348" s="11">
        <v>2</v>
      </c>
      <c r="H348" s="10">
        <v>0.3</v>
      </c>
    </row>
    <row r="349" spans="1:8" x14ac:dyDescent="0.3">
      <c r="A349" s="11">
        <v>348</v>
      </c>
      <c r="B349" s="13">
        <v>40558</v>
      </c>
      <c r="C349" s="11">
        <v>1</v>
      </c>
      <c r="D349" s="11">
        <v>23</v>
      </c>
      <c r="E349" s="1" t="b">
        <v>0</v>
      </c>
      <c r="F349" s="11">
        <v>6</v>
      </c>
      <c r="G349" s="11">
        <v>1</v>
      </c>
      <c r="H349" s="10">
        <v>0.3</v>
      </c>
    </row>
    <row r="350" spans="1:8" x14ac:dyDescent="0.3">
      <c r="A350" s="11">
        <v>349</v>
      </c>
      <c r="B350" s="13">
        <v>40559</v>
      </c>
      <c r="C350" s="11">
        <v>1</v>
      </c>
      <c r="D350" s="11">
        <v>0</v>
      </c>
      <c r="E350" s="1" t="b">
        <v>0</v>
      </c>
      <c r="F350" s="11">
        <v>0</v>
      </c>
      <c r="G350" s="11">
        <v>1</v>
      </c>
      <c r="H350" s="10">
        <v>0.26</v>
      </c>
    </row>
    <row r="351" spans="1:8" x14ac:dyDescent="0.3">
      <c r="A351" s="11">
        <v>350</v>
      </c>
      <c r="B351" s="13">
        <v>40559</v>
      </c>
      <c r="C351" s="11">
        <v>1</v>
      </c>
      <c r="D351" s="11">
        <v>1</v>
      </c>
      <c r="E351" s="1" t="b">
        <v>0</v>
      </c>
      <c r="F351" s="11">
        <v>0</v>
      </c>
      <c r="G351" s="11">
        <v>1</v>
      </c>
      <c r="H351" s="10">
        <v>0.26</v>
      </c>
    </row>
    <row r="352" spans="1:8" x14ac:dyDescent="0.3">
      <c r="A352" s="11">
        <v>351</v>
      </c>
      <c r="B352" s="13">
        <v>40559</v>
      </c>
      <c r="C352" s="11">
        <v>1</v>
      </c>
      <c r="D352" s="11">
        <v>2</v>
      </c>
      <c r="E352" s="1" t="b">
        <v>0</v>
      </c>
      <c r="F352" s="11">
        <v>0</v>
      </c>
      <c r="G352" s="11">
        <v>1</v>
      </c>
      <c r="H352" s="10">
        <v>0.26</v>
      </c>
    </row>
    <row r="353" spans="1:8" x14ac:dyDescent="0.3">
      <c r="A353" s="11">
        <v>352</v>
      </c>
      <c r="B353" s="13">
        <v>40559</v>
      </c>
      <c r="C353" s="11">
        <v>1</v>
      </c>
      <c r="D353" s="11">
        <v>3</v>
      </c>
      <c r="E353" s="1" t="b">
        <v>0</v>
      </c>
      <c r="F353" s="11">
        <v>0</v>
      </c>
      <c r="G353" s="11">
        <v>1</v>
      </c>
      <c r="H353" s="10">
        <v>0.22</v>
      </c>
    </row>
    <row r="354" spans="1:8" x14ac:dyDescent="0.3">
      <c r="A354" s="11">
        <v>353</v>
      </c>
      <c r="B354" s="13">
        <v>40559</v>
      </c>
      <c r="C354" s="11">
        <v>1</v>
      </c>
      <c r="D354" s="11">
        <v>4</v>
      </c>
      <c r="E354" s="1" t="b">
        <v>0</v>
      </c>
      <c r="F354" s="11">
        <v>0</v>
      </c>
      <c r="G354" s="11">
        <v>1</v>
      </c>
      <c r="H354" s="10">
        <v>0.26</v>
      </c>
    </row>
    <row r="355" spans="1:8" x14ac:dyDescent="0.3">
      <c r="A355" s="11">
        <v>354</v>
      </c>
      <c r="B355" s="13">
        <v>40559</v>
      </c>
      <c r="C355" s="11">
        <v>1</v>
      </c>
      <c r="D355" s="11">
        <v>5</v>
      </c>
      <c r="E355" s="1" t="b">
        <v>0</v>
      </c>
      <c r="F355" s="11">
        <v>0</v>
      </c>
      <c r="G355" s="11">
        <v>2</v>
      </c>
      <c r="H355" s="10">
        <v>0.26</v>
      </c>
    </row>
    <row r="356" spans="1:8" x14ac:dyDescent="0.3">
      <c r="A356" s="11">
        <v>355</v>
      </c>
      <c r="B356" s="13">
        <v>40559</v>
      </c>
      <c r="C356" s="11">
        <v>1</v>
      </c>
      <c r="D356" s="11">
        <v>6</v>
      </c>
      <c r="E356" s="1" t="b">
        <v>0</v>
      </c>
      <c r="F356" s="11">
        <v>0</v>
      </c>
      <c r="G356" s="11">
        <v>2</v>
      </c>
      <c r="H356" s="10">
        <v>0.26</v>
      </c>
    </row>
    <row r="357" spans="1:8" x14ac:dyDescent="0.3">
      <c r="A357" s="11">
        <v>356</v>
      </c>
      <c r="B357" s="13">
        <v>40559</v>
      </c>
      <c r="C357" s="11">
        <v>1</v>
      </c>
      <c r="D357" s="11">
        <v>7</v>
      </c>
      <c r="E357" s="1" t="b">
        <v>0</v>
      </c>
      <c r="F357" s="11">
        <v>0</v>
      </c>
      <c r="G357" s="11">
        <v>2</v>
      </c>
      <c r="H357" s="10">
        <v>0.24</v>
      </c>
    </row>
    <row r="358" spans="1:8" x14ac:dyDescent="0.3">
      <c r="A358" s="11">
        <v>357</v>
      </c>
      <c r="B358" s="13">
        <v>40559</v>
      </c>
      <c r="C358" s="11">
        <v>1</v>
      </c>
      <c r="D358" s="11">
        <v>8</v>
      </c>
      <c r="E358" s="1" t="b">
        <v>0</v>
      </c>
      <c r="F358" s="11">
        <v>0</v>
      </c>
      <c r="G358" s="11">
        <v>1</v>
      </c>
      <c r="H358" s="10">
        <v>0.22</v>
      </c>
    </row>
    <row r="359" spans="1:8" x14ac:dyDescent="0.3">
      <c r="A359" s="11">
        <v>358</v>
      </c>
      <c r="B359" s="13">
        <v>40559</v>
      </c>
      <c r="C359" s="11">
        <v>1</v>
      </c>
      <c r="D359" s="11">
        <v>9</v>
      </c>
      <c r="E359" s="1" t="b">
        <v>0</v>
      </c>
      <c r="F359" s="11">
        <v>0</v>
      </c>
      <c r="G359" s="11">
        <v>1</v>
      </c>
      <c r="H359" s="10">
        <v>0.22</v>
      </c>
    </row>
    <row r="360" spans="1:8" x14ac:dyDescent="0.3">
      <c r="A360" s="11">
        <v>359</v>
      </c>
      <c r="B360" s="13">
        <v>40559</v>
      </c>
      <c r="C360" s="11">
        <v>1</v>
      </c>
      <c r="D360" s="11">
        <v>10</v>
      </c>
      <c r="E360" s="1" t="b">
        <v>0</v>
      </c>
      <c r="F360" s="11">
        <v>0</v>
      </c>
      <c r="G360" s="11">
        <v>1</v>
      </c>
      <c r="H360" s="10">
        <v>0.22</v>
      </c>
    </row>
    <row r="361" spans="1:8" x14ac:dyDescent="0.3">
      <c r="A361" s="11">
        <v>360</v>
      </c>
      <c r="B361" s="13">
        <v>40559</v>
      </c>
      <c r="C361" s="11">
        <v>1</v>
      </c>
      <c r="D361" s="11">
        <v>11</v>
      </c>
      <c r="E361" s="1" t="b">
        <v>0</v>
      </c>
      <c r="F361" s="11">
        <v>0</v>
      </c>
      <c r="G361" s="11">
        <v>1</v>
      </c>
      <c r="H361" s="10">
        <v>0.24</v>
      </c>
    </row>
    <row r="362" spans="1:8" x14ac:dyDescent="0.3">
      <c r="A362" s="11">
        <v>361</v>
      </c>
      <c r="B362" s="13">
        <v>40559</v>
      </c>
      <c r="C362" s="11">
        <v>1</v>
      </c>
      <c r="D362" s="11">
        <v>12</v>
      </c>
      <c r="E362" s="1" t="b">
        <v>0</v>
      </c>
      <c r="F362" s="11">
        <v>0</v>
      </c>
      <c r="G362" s="11">
        <v>1</v>
      </c>
      <c r="H362" s="10">
        <v>0.24</v>
      </c>
    </row>
    <row r="363" spans="1:8" x14ac:dyDescent="0.3">
      <c r="A363" s="11">
        <v>362</v>
      </c>
      <c r="B363" s="13">
        <v>40559</v>
      </c>
      <c r="C363" s="11">
        <v>1</v>
      </c>
      <c r="D363" s="11">
        <v>13</v>
      </c>
      <c r="E363" s="1" t="b">
        <v>0</v>
      </c>
      <c r="F363" s="11">
        <v>0</v>
      </c>
      <c r="G363" s="11">
        <v>1</v>
      </c>
      <c r="H363" s="10">
        <v>0.26</v>
      </c>
    </row>
    <row r="364" spans="1:8" x14ac:dyDescent="0.3">
      <c r="A364" s="11">
        <v>363</v>
      </c>
      <c r="B364" s="13">
        <v>40559</v>
      </c>
      <c r="C364" s="11">
        <v>1</v>
      </c>
      <c r="D364" s="11">
        <v>14</v>
      </c>
      <c r="E364" s="1" t="b">
        <v>0</v>
      </c>
      <c r="F364" s="11">
        <v>0</v>
      </c>
      <c r="G364" s="11">
        <v>1</v>
      </c>
      <c r="H364" s="10">
        <v>0.28000000000000003</v>
      </c>
    </row>
    <row r="365" spans="1:8" x14ac:dyDescent="0.3">
      <c r="A365" s="11">
        <v>364</v>
      </c>
      <c r="B365" s="13">
        <v>40559</v>
      </c>
      <c r="C365" s="11">
        <v>1</v>
      </c>
      <c r="D365" s="11">
        <v>15</v>
      </c>
      <c r="E365" s="1" t="b">
        <v>0</v>
      </c>
      <c r="F365" s="11">
        <v>0</v>
      </c>
      <c r="G365" s="11">
        <v>1</v>
      </c>
      <c r="H365" s="10">
        <v>0.26</v>
      </c>
    </row>
    <row r="366" spans="1:8" x14ac:dyDescent="0.3">
      <c r="A366" s="11">
        <v>365</v>
      </c>
      <c r="B366" s="13">
        <v>40559</v>
      </c>
      <c r="C366" s="11">
        <v>1</v>
      </c>
      <c r="D366" s="11">
        <v>16</v>
      </c>
      <c r="E366" s="1" t="b">
        <v>0</v>
      </c>
      <c r="F366" s="11">
        <v>0</v>
      </c>
      <c r="G366" s="11">
        <v>1</v>
      </c>
      <c r="H366" s="10">
        <v>0.24</v>
      </c>
    </row>
    <row r="367" spans="1:8" x14ac:dyDescent="0.3">
      <c r="A367" s="11">
        <v>366</v>
      </c>
      <c r="B367" s="13">
        <v>40559</v>
      </c>
      <c r="C367" s="11">
        <v>1</v>
      </c>
      <c r="D367" s="11">
        <v>17</v>
      </c>
      <c r="E367" s="1" t="b">
        <v>0</v>
      </c>
      <c r="F367" s="11">
        <v>0</v>
      </c>
      <c r="G367" s="11">
        <v>1</v>
      </c>
      <c r="H367" s="10">
        <v>0.22</v>
      </c>
    </row>
    <row r="368" spans="1:8" x14ac:dyDescent="0.3">
      <c r="A368" s="11">
        <v>367</v>
      </c>
      <c r="B368" s="13">
        <v>40559</v>
      </c>
      <c r="C368" s="11">
        <v>1</v>
      </c>
      <c r="D368" s="11">
        <v>18</v>
      </c>
      <c r="E368" s="1" t="b">
        <v>0</v>
      </c>
      <c r="F368" s="11">
        <v>0</v>
      </c>
      <c r="G368" s="11">
        <v>1</v>
      </c>
      <c r="H368" s="10">
        <v>0.2</v>
      </c>
    </row>
    <row r="369" spans="1:8" x14ac:dyDescent="0.3">
      <c r="A369" s="11">
        <v>368</v>
      </c>
      <c r="B369" s="13">
        <v>40559</v>
      </c>
      <c r="C369" s="11">
        <v>1</v>
      </c>
      <c r="D369" s="11">
        <v>19</v>
      </c>
      <c r="E369" s="1" t="b">
        <v>0</v>
      </c>
      <c r="F369" s="11">
        <v>0</v>
      </c>
      <c r="G369" s="11">
        <v>1</v>
      </c>
      <c r="H369" s="10">
        <v>0.18</v>
      </c>
    </row>
    <row r="370" spans="1:8" x14ac:dyDescent="0.3">
      <c r="A370" s="11">
        <v>369</v>
      </c>
      <c r="B370" s="13">
        <v>40559</v>
      </c>
      <c r="C370" s="11">
        <v>1</v>
      </c>
      <c r="D370" s="11">
        <v>20</v>
      </c>
      <c r="E370" s="1" t="b">
        <v>0</v>
      </c>
      <c r="F370" s="11">
        <v>0</v>
      </c>
      <c r="G370" s="11">
        <v>1</v>
      </c>
      <c r="H370" s="10">
        <v>0.18</v>
      </c>
    </row>
    <row r="371" spans="1:8" x14ac:dyDescent="0.3">
      <c r="A371" s="11">
        <v>370</v>
      </c>
      <c r="B371" s="13">
        <v>40559</v>
      </c>
      <c r="C371" s="11">
        <v>1</v>
      </c>
      <c r="D371" s="11">
        <v>21</v>
      </c>
      <c r="E371" s="1" t="b">
        <v>0</v>
      </c>
      <c r="F371" s="11">
        <v>0</v>
      </c>
      <c r="G371" s="11">
        <v>1</v>
      </c>
      <c r="H371" s="10">
        <v>0.18</v>
      </c>
    </row>
    <row r="372" spans="1:8" x14ac:dyDescent="0.3">
      <c r="A372" s="11">
        <v>371</v>
      </c>
      <c r="B372" s="13">
        <v>40559</v>
      </c>
      <c r="C372" s="11">
        <v>1</v>
      </c>
      <c r="D372" s="11">
        <v>22</v>
      </c>
      <c r="E372" s="1" t="b">
        <v>0</v>
      </c>
      <c r="F372" s="11">
        <v>0</v>
      </c>
      <c r="G372" s="11">
        <v>2</v>
      </c>
      <c r="H372" s="10">
        <v>0.2</v>
      </c>
    </row>
    <row r="373" spans="1:8" x14ac:dyDescent="0.3">
      <c r="A373" s="11">
        <v>372</v>
      </c>
      <c r="B373" s="13">
        <v>40559</v>
      </c>
      <c r="C373" s="11">
        <v>1</v>
      </c>
      <c r="D373" s="11">
        <v>23</v>
      </c>
      <c r="E373" s="1" t="b">
        <v>0</v>
      </c>
      <c r="F373" s="11">
        <v>0</v>
      </c>
      <c r="G373" s="11">
        <v>2</v>
      </c>
      <c r="H373" s="10">
        <v>0.2</v>
      </c>
    </row>
    <row r="374" spans="1:8" x14ac:dyDescent="0.3">
      <c r="A374" s="11">
        <v>373</v>
      </c>
      <c r="B374" s="13">
        <v>40560</v>
      </c>
      <c r="C374" s="11">
        <v>1</v>
      </c>
      <c r="D374" s="11">
        <v>0</v>
      </c>
      <c r="E374" s="1" t="b">
        <v>1</v>
      </c>
      <c r="F374" s="11">
        <v>1</v>
      </c>
      <c r="G374" s="11">
        <v>2</v>
      </c>
      <c r="H374" s="10">
        <v>0.2</v>
      </c>
    </row>
    <row r="375" spans="1:8" x14ac:dyDescent="0.3">
      <c r="A375" s="11">
        <v>374</v>
      </c>
      <c r="B375" s="13">
        <v>40560</v>
      </c>
      <c r="C375" s="11">
        <v>1</v>
      </c>
      <c r="D375" s="11">
        <v>1</v>
      </c>
      <c r="E375" s="1" t="b">
        <v>1</v>
      </c>
      <c r="F375" s="11">
        <v>1</v>
      </c>
      <c r="G375" s="11">
        <v>2</v>
      </c>
      <c r="H375" s="10">
        <v>0.2</v>
      </c>
    </row>
    <row r="376" spans="1:8" x14ac:dyDescent="0.3">
      <c r="A376" s="11">
        <v>375</v>
      </c>
      <c r="B376" s="13">
        <v>40560</v>
      </c>
      <c r="C376" s="11">
        <v>1</v>
      </c>
      <c r="D376" s="11">
        <v>2</v>
      </c>
      <c r="E376" s="1" t="b">
        <v>1</v>
      </c>
      <c r="F376" s="11">
        <v>1</v>
      </c>
      <c r="G376" s="11">
        <v>2</v>
      </c>
      <c r="H376" s="10">
        <v>0.18</v>
      </c>
    </row>
    <row r="377" spans="1:8" x14ac:dyDescent="0.3">
      <c r="A377" s="11">
        <v>376</v>
      </c>
      <c r="B377" s="13">
        <v>40560</v>
      </c>
      <c r="C377" s="11">
        <v>1</v>
      </c>
      <c r="D377" s="11">
        <v>3</v>
      </c>
      <c r="E377" s="1" t="b">
        <v>1</v>
      </c>
      <c r="F377" s="11">
        <v>1</v>
      </c>
      <c r="G377" s="11">
        <v>2</v>
      </c>
      <c r="H377" s="10">
        <v>0.18</v>
      </c>
    </row>
    <row r="378" spans="1:8" x14ac:dyDescent="0.3">
      <c r="A378" s="11">
        <v>377</v>
      </c>
      <c r="B378" s="13">
        <v>40560</v>
      </c>
      <c r="C378" s="11">
        <v>1</v>
      </c>
      <c r="D378" s="11">
        <v>4</v>
      </c>
      <c r="E378" s="1" t="b">
        <v>1</v>
      </c>
      <c r="F378" s="11">
        <v>1</v>
      </c>
      <c r="G378" s="11">
        <v>2</v>
      </c>
      <c r="H378" s="10">
        <v>0.18</v>
      </c>
    </row>
    <row r="379" spans="1:8" x14ac:dyDescent="0.3">
      <c r="A379" s="11">
        <v>378</v>
      </c>
      <c r="B379" s="13">
        <v>40560</v>
      </c>
      <c r="C379" s="11">
        <v>1</v>
      </c>
      <c r="D379" s="11">
        <v>5</v>
      </c>
      <c r="E379" s="1" t="b">
        <v>1</v>
      </c>
      <c r="F379" s="11">
        <v>1</v>
      </c>
      <c r="G379" s="11">
        <v>2</v>
      </c>
      <c r="H379" s="10">
        <v>0.18</v>
      </c>
    </row>
    <row r="380" spans="1:8" x14ac:dyDescent="0.3">
      <c r="A380" s="11">
        <v>379</v>
      </c>
      <c r="B380" s="13">
        <v>40560</v>
      </c>
      <c r="C380" s="11">
        <v>1</v>
      </c>
      <c r="D380" s="11">
        <v>6</v>
      </c>
      <c r="E380" s="1" t="b">
        <v>1</v>
      </c>
      <c r="F380" s="11">
        <v>1</v>
      </c>
      <c r="G380" s="11">
        <v>2</v>
      </c>
      <c r="H380" s="10">
        <v>0.18</v>
      </c>
    </row>
    <row r="381" spans="1:8" x14ac:dyDescent="0.3">
      <c r="A381" s="11">
        <v>380</v>
      </c>
      <c r="B381" s="13">
        <v>40560</v>
      </c>
      <c r="C381" s="11">
        <v>1</v>
      </c>
      <c r="D381" s="11">
        <v>7</v>
      </c>
      <c r="E381" s="1" t="b">
        <v>1</v>
      </c>
      <c r="F381" s="11">
        <v>1</v>
      </c>
      <c r="G381" s="11">
        <v>2</v>
      </c>
      <c r="H381" s="10">
        <v>0.16</v>
      </c>
    </row>
    <row r="382" spans="1:8" x14ac:dyDescent="0.3">
      <c r="A382" s="11">
        <v>381</v>
      </c>
      <c r="B382" s="13">
        <v>40560</v>
      </c>
      <c r="C382" s="11">
        <v>1</v>
      </c>
      <c r="D382" s="11">
        <v>8</v>
      </c>
      <c r="E382" s="1" t="b">
        <v>1</v>
      </c>
      <c r="F382" s="11">
        <v>1</v>
      </c>
      <c r="G382" s="11">
        <v>2</v>
      </c>
      <c r="H382" s="10">
        <v>0.16</v>
      </c>
    </row>
    <row r="383" spans="1:8" x14ac:dyDescent="0.3">
      <c r="A383" s="11">
        <v>382</v>
      </c>
      <c r="B383" s="13">
        <v>40560</v>
      </c>
      <c r="C383" s="11">
        <v>1</v>
      </c>
      <c r="D383" s="11">
        <v>9</v>
      </c>
      <c r="E383" s="1" t="b">
        <v>1</v>
      </c>
      <c r="F383" s="11">
        <v>1</v>
      </c>
      <c r="G383" s="11">
        <v>2</v>
      </c>
      <c r="H383" s="10">
        <v>0.16</v>
      </c>
    </row>
    <row r="384" spans="1:8" x14ac:dyDescent="0.3">
      <c r="A384" s="11">
        <v>383</v>
      </c>
      <c r="B384" s="13">
        <v>40560</v>
      </c>
      <c r="C384" s="11">
        <v>1</v>
      </c>
      <c r="D384" s="11">
        <v>10</v>
      </c>
      <c r="E384" s="1" t="b">
        <v>1</v>
      </c>
      <c r="F384" s="11">
        <v>1</v>
      </c>
      <c r="G384" s="11">
        <v>2</v>
      </c>
      <c r="H384" s="10">
        <v>0.16</v>
      </c>
    </row>
    <row r="385" spans="1:8" x14ac:dyDescent="0.3">
      <c r="A385" s="11">
        <v>384</v>
      </c>
      <c r="B385" s="13">
        <v>40560</v>
      </c>
      <c r="C385" s="11">
        <v>1</v>
      </c>
      <c r="D385" s="11">
        <v>11</v>
      </c>
      <c r="E385" s="1" t="b">
        <v>1</v>
      </c>
      <c r="F385" s="11">
        <v>1</v>
      </c>
      <c r="G385" s="11">
        <v>2</v>
      </c>
      <c r="H385" s="10">
        <v>0.16</v>
      </c>
    </row>
    <row r="386" spans="1:8" x14ac:dyDescent="0.3">
      <c r="A386" s="11">
        <v>385</v>
      </c>
      <c r="B386" s="13">
        <v>40560</v>
      </c>
      <c r="C386" s="11">
        <v>1</v>
      </c>
      <c r="D386" s="11">
        <v>12</v>
      </c>
      <c r="E386" s="1" t="b">
        <v>1</v>
      </c>
      <c r="F386" s="11">
        <v>1</v>
      </c>
      <c r="G386" s="11">
        <v>2</v>
      </c>
      <c r="H386" s="10">
        <v>0.18</v>
      </c>
    </row>
    <row r="387" spans="1:8" x14ac:dyDescent="0.3">
      <c r="A387" s="11">
        <v>386</v>
      </c>
      <c r="B387" s="13">
        <v>40560</v>
      </c>
      <c r="C387" s="11">
        <v>1</v>
      </c>
      <c r="D387" s="11">
        <v>13</v>
      </c>
      <c r="E387" s="1" t="b">
        <v>1</v>
      </c>
      <c r="F387" s="11">
        <v>1</v>
      </c>
      <c r="G387" s="11">
        <v>2</v>
      </c>
      <c r="H387" s="10">
        <v>0.18</v>
      </c>
    </row>
    <row r="388" spans="1:8" x14ac:dyDescent="0.3">
      <c r="A388" s="11">
        <v>387</v>
      </c>
      <c r="B388" s="13">
        <v>40560</v>
      </c>
      <c r="C388" s="11">
        <v>1</v>
      </c>
      <c r="D388" s="11">
        <v>14</v>
      </c>
      <c r="E388" s="1" t="b">
        <v>1</v>
      </c>
      <c r="F388" s="11">
        <v>1</v>
      </c>
      <c r="G388" s="11">
        <v>2</v>
      </c>
      <c r="H388" s="10">
        <v>0.18</v>
      </c>
    </row>
    <row r="389" spans="1:8" x14ac:dyDescent="0.3">
      <c r="A389" s="11">
        <v>388</v>
      </c>
      <c r="B389" s="13">
        <v>40560</v>
      </c>
      <c r="C389" s="11">
        <v>1</v>
      </c>
      <c r="D389" s="11">
        <v>15</v>
      </c>
      <c r="E389" s="1" t="b">
        <v>1</v>
      </c>
      <c r="F389" s="11">
        <v>1</v>
      </c>
      <c r="G389" s="11">
        <v>2</v>
      </c>
      <c r="H389" s="10">
        <v>0.2</v>
      </c>
    </row>
    <row r="390" spans="1:8" x14ac:dyDescent="0.3">
      <c r="A390" s="11">
        <v>389</v>
      </c>
      <c r="B390" s="13">
        <v>40560</v>
      </c>
      <c r="C390" s="11">
        <v>1</v>
      </c>
      <c r="D390" s="11">
        <v>16</v>
      </c>
      <c r="E390" s="1" t="b">
        <v>1</v>
      </c>
      <c r="F390" s="11">
        <v>1</v>
      </c>
      <c r="G390" s="11">
        <v>2</v>
      </c>
      <c r="H390" s="10">
        <v>0.2</v>
      </c>
    </row>
    <row r="391" spans="1:8" x14ac:dyDescent="0.3">
      <c r="A391" s="11">
        <v>390</v>
      </c>
      <c r="B391" s="13">
        <v>40560</v>
      </c>
      <c r="C391" s="11">
        <v>1</v>
      </c>
      <c r="D391" s="11">
        <v>17</v>
      </c>
      <c r="E391" s="1" t="b">
        <v>1</v>
      </c>
      <c r="F391" s="11">
        <v>1</v>
      </c>
      <c r="G391" s="11">
        <v>1</v>
      </c>
      <c r="H391" s="10">
        <v>0.2</v>
      </c>
    </row>
    <row r="392" spans="1:8" x14ac:dyDescent="0.3">
      <c r="A392" s="11">
        <v>391</v>
      </c>
      <c r="B392" s="13">
        <v>40560</v>
      </c>
      <c r="C392" s="11">
        <v>1</v>
      </c>
      <c r="D392" s="11">
        <v>18</v>
      </c>
      <c r="E392" s="1" t="b">
        <v>1</v>
      </c>
      <c r="F392" s="11">
        <v>1</v>
      </c>
      <c r="G392" s="11">
        <v>2</v>
      </c>
      <c r="H392" s="10">
        <v>0.18</v>
      </c>
    </row>
    <row r="393" spans="1:8" x14ac:dyDescent="0.3">
      <c r="A393" s="11">
        <v>392</v>
      </c>
      <c r="B393" s="13">
        <v>40560</v>
      </c>
      <c r="C393" s="11">
        <v>1</v>
      </c>
      <c r="D393" s="11">
        <v>19</v>
      </c>
      <c r="E393" s="1" t="b">
        <v>1</v>
      </c>
      <c r="F393" s="11">
        <v>1</v>
      </c>
      <c r="G393" s="11">
        <v>3</v>
      </c>
      <c r="H393" s="10">
        <v>0.18</v>
      </c>
    </row>
    <row r="394" spans="1:8" x14ac:dyDescent="0.3">
      <c r="A394" s="11">
        <v>393</v>
      </c>
      <c r="B394" s="13">
        <v>40560</v>
      </c>
      <c r="C394" s="11">
        <v>1</v>
      </c>
      <c r="D394" s="11">
        <v>20</v>
      </c>
      <c r="E394" s="1" t="b">
        <v>1</v>
      </c>
      <c r="F394" s="11">
        <v>1</v>
      </c>
      <c r="G394" s="11">
        <v>3</v>
      </c>
      <c r="H394" s="10">
        <v>0.16</v>
      </c>
    </row>
    <row r="395" spans="1:8" x14ac:dyDescent="0.3">
      <c r="A395" s="11">
        <v>394</v>
      </c>
      <c r="B395" s="13">
        <v>40560</v>
      </c>
      <c r="C395" s="11">
        <v>1</v>
      </c>
      <c r="D395" s="11">
        <v>21</v>
      </c>
      <c r="E395" s="1" t="b">
        <v>1</v>
      </c>
      <c r="F395" s="11">
        <v>1</v>
      </c>
      <c r="G395" s="11">
        <v>3</v>
      </c>
      <c r="H395" s="10">
        <v>0.16</v>
      </c>
    </row>
    <row r="396" spans="1:8" x14ac:dyDescent="0.3">
      <c r="A396" s="11">
        <v>395</v>
      </c>
      <c r="B396" s="13">
        <v>40560</v>
      </c>
      <c r="C396" s="11">
        <v>1</v>
      </c>
      <c r="D396" s="11">
        <v>22</v>
      </c>
      <c r="E396" s="1" t="b">
        <v>1</v>
      </c>
      <c r="F396" s="11">
        <v>1</v>
      </c>
      <c r="G396" s="11">
        <v>3</v>
      </c>
      <c r="H396" s="10">
        <v>0.14000000000000001</v>
      </c>
    </row>
    <row r="397" spans="1:8" x14ac:dyDescent="0.3">
      <c r="A397" s="11">
        <v>396</v>
      </c>
      <c r="B397" s="13">
        <v>40560</v>
      </c>
      <c r="C397" s="11">
        <v>1</v>
      </c>
      <c r="D397" s="11">
        <v>23</v>
      </c>
      <c r="E397" s="1" t="b">
        <v>1</v>
      </c>
      <c r="F397" s="11">
        <v>1</v>
      </c>
      <c r="G397" s="11">
        <v>3</v>
      </c>
      <c r="H397" s="10">
        <v>0.16</v>
      </c>
    </row>
    <row r="398" spans="1:8" x14ac:dyDescent="0.3">
      <c r="A398" s="11">
        <v>397</v>
      </c>
      <c r="B398" s="13">
        <v>40561</v>
      </c>
      <c r="C398" s="11">
        <v>1</v>
      </c>
      <c r="D398" s="11">
        <v>12</v>
      </c>
      <c r="E398" s="1" t="b">
        <v>0</v>
      </c>
      <c r="F398" s="11">
        <v>2</v>
      </c>
      <c r="G398" s="11">
        <v>2</v>
      </c>
      <c r="H398" s="10">
        <v>0.2</v>
      </c>
    </row>
    <row r="399" spans="1:8" x14ac:dyDescent="0.3">
      <c r="A399" s="11">
        <v>398</v>
      </c>
      <c r="B399" s="13">
        <v>40561</v>
      </c>
      <c r="C399" s="11">
        <v>1</v>
      </c>
      <c r="D399" s="11">
        <v>13</v>
      </c>
      <c r="E399" s="1" t="b">
        <v>0</v>
      </c>
      <c r="F399" s="11">
        <v>2</v>
      </c>
      <c r="G399" s="11">
        <v>2</v>
      </c>
      <c r="H399" s="10">
        <v>0.2</v>
      </c>
    </row>
    <row r="400" spans="1:8" x14ac:dyDescent="0.3">
      <c r="A400" s="11">
        <v>399</v>
      </c>
      <c r="B400" s="13">
        <v>40561</v>
      </c>
      <c r="C400" s="11">
        <v>1</v>
      </c>
      <c r="D400" s="11">
        <v>14</v>
      </c>
      <c r="E400" s="1" t="b">
        <v>0</v>
      </c>
      <c r="F400" s="11">
        <v>2</v>
      </c>
      <c r="G400" s="11">
        <v>2</v>
      </c>
      <c r="H400" s="10">
        <v>0.22</v>
      </c>
    </row>
    <row r="401" spans="1:8" x14ac:dyDescent="0.3">
      <c r="A401" s="11">
        <v>400</v>
      </c>
      <c r="B401" s="13">
        <v>40561</v>
      </c>
      <c r="C401" s="11">
        <v>1</v>
      </c>
      <c r="D401" s="11">
        <v>15</v>
      </c>
      <c r="E401" s="1" t="b">
        <v>0</v>
      </c>
      <c r="F401" s="11">
        <v>2</v>
      </c>
      <c r="G401" s="11">
        <v>2</v>
      </c>
      <c r="H401" s="10">
        <v>0.22</v>
      </c>
    </row>
    <row r="402" spans="1:8" x14ac:dyDescent="0.3">
      <c r="A402" s="11">
        <v>401</v>
      </c>
      <c r="B402" s="13">
        <v>40561</v>
      </c>
      <c r="C402" s="11">
        <v>1</v>
      </c>
      <c r="D402" s="11">
        <v>16</v>
      </c>
      <c r="E402" s="1" t="b">
        <v>0</v>
      </c>
      <c r="F402" s="11">
        <v>2</v>
      </c>
      <c r="G402" s="11">
        <v>2</v>
      </c>
      <c r="H402" s="10">
        <v>0.22</v>
      </c>
    </row>
    <row r="403" spans="1:8" x14ac:dyDescent="0.3">
      <c r="A403" s="11">
        <v>402</v>
      </c>
      <c r="B403" s="13">
        <v>40561</v>
      </c>
      <c r="C403" s="11">
        <v>1</v>
      </c>
      <c r="D403" s="11">
        <v>17</v>
      </c>
      <c r="E403" s="1" t="b">
        <v>0</v>
      </c>
      <c r="F403" s="11">
        <v>2</v>
      </c>
      <c r="G403" s="11">
        <v>2</v>
      </c>
      <c r="H403" s="10">
        <v>0.22</v>
      </c>
    </row>
    <row r="404" spans="1:8" x14ac:dyDescent="0.3">
      <c r="A404" s="11">
        <v>403</v>
      </c>
      <c r="B404" s="13">
        <v>40561</v>
      </c>
      <c r="C404" s="11">
        <v>1</v>
      </c>
      <c r="D404" s="11">
        <v>18</v>
      </c>
      <c r="E404" s="1" t="b">
        <v>0</v>
      </c>
      <c r="F404" s="11">
        <v>2</v>
      </c>
      <c r="G404" s="11">
        <v>2</v>
      </c>
      <c r="H404" s="10">
        <v>0.22</v>
      </c>
    </row>
    <row r="405" spans="1:8" x14ac:dyDescent="0.3">
      <c r="A405" s="11">
        <v>404</v>
      </c>
      <c r="B405" s="13">
        <v>40561</v>
      </c>
      <c r="C405" s="11">
        <v>1</v>
      </c>
      <c r="D405" s="11">
        <v>19</v>
      </c>
      <c r="E405" s="1" t="b">
        <v>0</v>
      </c>
      <c r="F405" s="11">
        <v>2</v>
      </c>
      <c r="G405" s="11">
        <v>2</v>
      </c>
      <c r="H405" s="10">
        <v>0.22</v>
      </c>
    </row>
    <row r="406" spans="1:8" x14ac:dyDescent="0.3">
      <c r="A406" s="11">
        <v>405</v>
      </c>
      <c r="B406" s="13">
        <v>40561</v>
      </c>
      <c r="C406" s="11">
        <v>1</v>
      </c>
      <c r="D406" s="11">
        <v>20</v>
      </c>
      <c r="E406" s="1" t="b">
        <v>0</v>
      </c>
      <c r="F406" s="11">
        <v>2</v>
      </c>
      <c r="G406" s="11">
        <v>2</v>
      </c>
      <c r="H406" s="10">
        <v>0.22</v>
      </c>
    </row>
    <row r="407" spans="1:8" x14ac:dyDescent="0.3">
      <c r="A407" s="11">
        <v>406</v>
      </c>
      <c r="B407" s="13">
        <v>40561</v>
      </c>
      <c r="C407" s="11">
        <v>1</v>
      </c>
      <c r="D407" s="11">
        <v>21</v>
      </c>
      <c r="E407" s="1" t="b">
        <v>0</v>
      </c>
      <c r="F407" s="11">
        <v>2</v>
      </c>
      <c r="G407" s="11">
        <v>2</v>
      </c>
      <c r="H407" s="10">
        <v>0.22</v>
      </c>
    </row>
    <row r="408" spans="1:8" x14ac:dyDescent="0.3">
      <c r="A408" s="11">
        <v>407</v>
      </c>
      <c r="B408" s="13">
        <v>40561</v>
      </c>
      <c r="C408" s="11">
        <v>1</v>
      </c>
      <c r="D408" s="11">
        <v>22</v>
      </c>
      <c r="E408" s="1" t="b">
        <v>0</v>
      </c>
      <c r="F408" s="11">
        <v>2</v>
      </c>
      <c r="G408" s="11">
        <v>2</v>
      </c>
      <c r="H408" s="10">
        <v>0.22</v>
      </c>
    </row>
    <row r="409" spans="1:8" x14ac:dyDescent="0.3">
      <c r="A409" s="11">
        <v>408</v>
      </c>
      <c r="B409" s="13">
        <v>40561</v>
      </c>
      <c r="C409" s="11">
        <v>1</v>
      </c>
      <c r="D409" s="11">
        <v>23</v>
      </c>
      <c r="E409" s="1" t="b">
        <v>0</v>
      </c>
      <c r="F409" s="11">
        <v>2</v>
      </c>
      <c r="G409" s="11">
        <v>2</v>
      </c>
      <c r="H409" s="10">
        <v>0.22</v>
      </c>
    </row>
    <row r="410" spans="1:8" x14ac:dyDescent="0.3">
      <c r="A410" s="11">
        <v>409</v>
      </c>
      <c r="B410" s="13">
        <v>40562</v>
      </c>
      <c r="C410" s="11">
        <v>1</v>
      </c>
      <c r="D410" s="11">
        <v>0</v>
      </c>
      <c r="E410" s="1" t="b">
        <v>0</v>
      </c>
      <c r="F410" s="11">
        <v>3</v>
      </c>
      <c r="G410" s="11">
        <v>2</v>
      </c>
      <c r="H410" s="10">
        <v>0.22</v>
      </c>
    </row>
    <row r="411" spans="1:8" x14ac:dyDescent="0.3">
      <c r="A411" s="11">
        <v>410</v>
      </c>
      <c r="B411" s="13">
        <v>40562</v>
      </c>
      <c r="C411" s="11">
        <v>1</v>
      </c>
      <c r="D411" s="11">
        <v>1</v>
      </c>
      <c r="E411" s="1" t="b">
        <v>0</v>
      </c>
      <c r="F411" s="11">
        <v>3</v>
      </c>
      <c r="G411" s="11">
        <v>3</v>
      </c>
      <c r="H411" s="10">
        <v>0.22</v>
      </c>
    </row>
    <row r="412" spans="1:8" x14ac:dyDescent="0.3">
      <c r="A412" s="11">
        <v>411</v>
      </c>
      <c r="B412" s="13">
        <v>40562</v>
      </c>
      <c r="C412" s="11">
        <v>1</v>
      </c>
      <c r="D412" s="11">
        <v>2</v>
      </c>
      <c r="E412" s="1" t="b">
        <v>0</v>
      </c>
      <c r="F412" s="11">
        <v>3</v>
      </c>
      <c r="G412" s="11">
        <v>3</v>
      </c>
      <c r="H412" s="10">
        <v>0.22</v>
      </c>
    </row>
    <row r="413" spans="1:8" x14ac:dyDescent="0.3">
      <c r="A413" s="11">
        <v>412</v>
      </c>
      <c r="B413" s="13">
        <v>40562</v>
      </c>
      <c r="C413" s="11">
        <v>1</v>
      </c>
      <c r="D413" s="11">
        <v>4</v>
      </c>
      <c r="E413" s="1" t="b">
        <v>0</v>
      </c>
      <c r="F413" s="11">
        <v>3</v>
      </c>
      <c r="G413" s="11">
        <v>3</v>
      </c>
      <c r="H413" s="10">
        <v>0.22</v>
      </c>
    </row>
    <row r="414" spans="1:8" x14ac:dyDescent="0.3">
      <c r="A414" s="11">
        <v>413</v>
      </c>
      <c r="B414" s="13">
        <v>40562</v>
      </c>
      <c r="C414" s="11">
        <v>1</v>
      </c>
      <c r="D414" s="11">
        <v>5</v>
      </c>
      <c r="E414" s="1" t="b">
        <v>0</v>
      </c>
      <c r="F414" s="11">
        <v>3</v>
      </c>
      <c r="G414" s="11">
        <v>2</v>
      </c>
      <c r="H414" s="10">
        <v>0.22</v>
      </c>
    </row>
    <row r="415" spans="1:8" x14ac:dyDescent="0.3">
      <c r="A415" s="11">
        <v>414</v>
      </c>
      <c r="B415" s="13">
        <v>40562</v>
      </c>
      <c r="C415" s="11">
        <v>1</v>
      </c>
      <c r="D415" s="11">
        <v>6</v>
      </c>
      <c r="E415" s="1" t="b">
        <v>0</v>
      </c>
      <c r="F415" s="11">
        <v>3</v>
      </c>
      <c r="G415" s="11">
        <v>2</v>
      </c>
      <c r="H415" s="10">
        <v>0.22</v>
      </c>
    </row>
    <row r="416" spans="1:8" x14ac:dyDescent="0.3">
      <c r="A416" s="11">
        <v>415</v>
      </c>
      <c r="B416" s="13">
        <v>40562</v>
      </c>
      <c r="C416" s="11">
        <v>1</v>
      </c>
      <c r="D416" s="11">
        <v>7</v>
      </c>
      <c r="E416" s="1" t="b">
        <v>0</v>
      </c>
      <c r="F416" s="11">
        <v>3</v>
      </c>
      <c r="G416" s="11">
        <v>2</v>
      </c>
      <c r="H416" s="10">
        <v>0.24</v>
      </c>
    </row>
    <row r="417" spans="1:8" x14ac:dyDescent="0.3">
      <c r="A417" s="11">
        <v>416</v>
      </c>
      <c r="B417" s="13">
        <v>40562</v>
      </c>
      <c r="C417" s="11">
        <v>1</v>
      </c>
      <c r="D417" s="11">
        <v>8</v>
      </c>
      <c r="E417" s="1" t="b">
        <v>0</v>
      </c>
      <c r="F417" s="11">
        <v>3</v>
      </c>
      <c r="G417" s="11">
        <v>2</v>
      </c>
      <c r="H417" s="10">
        <v>0.24</v>
      </c>
    </row>
    <row r="418" spans="1:8" x14ac:dyDescent="0.3">
      <c r="A418" s="11">
        <v>417</v>
      </c>
      <c r="B418" s="13">
        <v>40562</v>
      </c>
      <c r="C418" s="11">
        <v>1</v>
      </c>
      <c r="D418" s="11">
        <v>9</v>
      </c>
      <c r="E418" s="1" t="b">
        <v>0</v>
      </c>
      <c r="F418" s="11">
        <v>3</v>
      </c>
      <c r="G418" s="11">
        <v>2</v>
      </c>
      <c r="H418" s="10">
        <v>0.24</v>
      </c>
    </row>
    <row r="419" spans="1:8" x14ac:dyDescent="0.3">
      <c r="A419" s="11">
        <v>418</v>
      </c>
      <c r="B419" s="13">
        <v>40562</v>
      </c>
      <c r="C419" s="11">
        <v>1</v>
      </c>
      <c r="D419" s="11">
        <v>10</v>
      </c>
      <c r="E419" s="1" t="b">
        <v>0</v>
      </c>
      <c r="F419" s="11">
        <v>3</v>
      </c>
      <c r="G419" s="11">
        <v>2</v>
      </c>
      <c r="H419" s="10">
        <v>0.26</v>
      </c>
    </row>
    <row r="420" spans="1:8" x14ac:dyDescent="0.3">
      <c r="A420" s="11">
        <v>419</v>
      </c>
      <c r="B420" s="13">
        <v>40562</v>
      </c>
      <c r="C420" s="11">
        <v>1</v>
      </c>
      <c r="D420" s="11">
        <v>11</v>
      </c>
      <c r="E420" s="1" t="b">
        <v>0</v>
      </c>
      <c r="F420" s="11">
        <v>3</v>
      </c>
      <c r="G420" s="11">
        <v>2</v>
      </c>
      <c r="H420" s="10">
        <v>0.28000000000000003</v>
      </c>
    </row>
    <row r="421" spans="1:8" x14ac:dyDescent="0.3">
      <c r="A421" s="11">
        <v>420</v>
      </c>
      <c r="B421" s="13">
        <v>40562</v>
      </c>
      <c r="C421" s="11">
        <v>1</v>
      </c>
      <c r="D421" s="11">
        <v>12</v>
      </c>
      <c r="E421" s="1" t="b">
        <v>0</v>
      </c>
      <c r="F421" s="11">
        <v>3</v>
      </c>
      <c r="G421" s="11">
        <v>2</v>
      </c>
      <c r="H421" s="10">
        <v>0.3</v>
      </c>
    </row>
    <row r="422" spans="1:8" x14ac:dyDescent="0.3">
      <c r="A422" s="11">
        <v>421</v>
      </c>
      <c r="B422" s="13">
        <v>40562</v>
      </c>
      <c r="C422" s="11">
        <v>1</v>
      </c>
      <c r="D422" s="11">
        <v>13</v>
      </c>
      <c r="E422" s="1" t="b">
        <v>0</v>
      </c>
      <c r="F422" s="11">
        <v>3</v>
      </c>
      <c r="G422" s="11">
        <v>1</v>
      </c>
      <c r="H422" s="10">
        <v>0.4</v>
      </c>
    </row>
    <row r="423" spans="1:8" x14ac:dyDescent="0.3">
      <c r="A423" s="11">
        <v>422</v>
      </c>
      <c r="B423" s="13">
        <v>40562</v>
      </c>
      <c r="C423" s="11">
        <v>1</v>
      </c>
      <c r="D423" s="11">
        <v>14</v>
      </c>
      <c r="E423" s="1" t="b">
        <v>0</v>
      </c>
      <c r="F423" s="11">
        <v>3</v>
      </c>
      <c r="G423" s="11">
        <v>1</v>
      </c>
      <c r="H423" s="10">
        <v>0.4</v>
      </c>
    </row>
    <row r="424" spans="1:8" x14ac:dyDescent="0.3">
      <c r="A424" s="11">
        <v>423</v>
      </c>
      <c r="B424" s="13">
        <v>40562</v>
      </c>
      <c r="C424" s="11">
        <v>1</v>
      </c>
      <c r="D424" s="11">
        <v>15</v>
      </c>
      <c r="E424" s="1" t="b">
        <v>0</v>
      </c>
      <c r="F424" s="11">
        <v>3</v>
      </c>
      <c r="G424" s="11">
        <v>1</v>
      </c>
      <c r="H424" s="10">
        <v>0.4</v>
      </c>
    </row>
    <row r="425" spans="1:8" x14ac:dyDescent="0.3">
      <c r="A425" s="11">
        <v>424</v>
      </c>
      <c r="B425" s="13">
        <v>40562</v>
      </c>
      <c r="C425" s="11">
        <v>1</v>
      </c>
      <c r="D425" s="11">
        <v>16</v>
      </c>
      <c r="E425" s="1" t="b">
        <v>0</v>
      </c>
      <c r="F425" s="11">
        <v>3</v>
      </c>
      <c r="G425" s="11">
        <v>1</v>
      </c>
      <c r="H425" s="10">
        <v>0.38</v>
      </c>
    </row>
    <row r="426" spans="1:8" x14ac:dyDescent="0.3">
      <c r="A426" s="11">
        <v>425</v>
      </c>
      <c r="B426" s="13">
        <v>40562</v>
      </c>
      <c r="C426" s="11">
        <v>1</v>
      </c>
      <c r="D426" s="11">
        <v>17</v>
      </c>
      <c r="E426" s="1" t="b">
        <v>0</v>
      </c>
      <c r="F426" s="11">
        <v>3</v>
      </c>
      <c r="G426" s="11">
        <v>1</v>
      </c>
      <c r="H426" s="10">
        <v>0.36</v>
      </c>
    </row>
    <row r="427" spans="1:8" x14ac:dyDescent="0.3">
      <c r="A427" s="11">
        <v>426</v>
      </c>
      <c r="B427" s="13">
        <v>40562</v>
      </c>
      <c r="C427" s="11">
        <v>1</v>
      </c>
      <c r="D427" s="11">
        <v>18</v>
      </c>
      <c r="E427" s="1" t="b">
        <v>0</v>
      </c>
      <c r="F427" s="11">
        <v>3</v>
      </c>
      <c r="G427" s="11">
        <v>1</v>
      </c>
      <c r="H427" s="10">
        <v>0.34</v>
      </c>
    </row>
    <row r="428" spans="1:8" x14ac:dyDescent="0.3">
      <c r="A428" s="11">
        <v>427</v>
      </c>
      <c r="B428" s="13">
        <v>40562</v>
      </c>
      <c r="C428" s="11">
        <v>1</v>
      </c>
      <c r="D428" s="11">
        <v>19</v>
      </c>
      <c r="E428" s="1" t="b">
        <v>0</v>
      </c>
      <c r="F428" s="11">
        <v>3</v>
      </c>
      <c r="G428" s="11">
        <v>1</v>
      </c>
      <c r="H428" s="10">
        <v>0.32</v>
      </c>
    </row>
    <row r="429" spans="1:8" x14ac:dyDescent="0.3">
      <c r="A429" s="11">
        <v>428</v>
      </c>
      <c r="B429" s="13">
        <v>40562</v>
      </c>
      <c r="C429" s="11">
        <v>1</v>
      </c>
      <c r="D429" s="11">
        <v>20</v>
      </c>
      <c r="E429" s="1" t="b">
        <v>0</v>
      </c>
      <c r="F429" s="11">
        <v>3</v>
      </c>
      <c r="G429" s="11">
        <v>1</v>
      </c>
      <c r="H429" s="10">
        <v>0.32</v>
      </c>
    </row>
    <row r="430" spans="1:8" x14ac:dyDescent="0.3">
      <c r="A430" s="11">
        <v>429</v>
      </c>
      <c r="B430" s="13">
        <v>40562</v>
      </c>
      <c r="C430" s="11">
        <v>1</v>
      </c>
      <c r="D430" s="11">
        <v>21</v>
      </c>
      <c r="E430" s="1" t="b">
        <v>0</v>
      </c>
      <c r="F430" s="11">
        <v>3</v>
      </c>
      <c r="G430" s="11">
        <v>1</v>
      </c>
      <c r="H430" s="10">
        <v>0.32</v>
      </c>
    </row>
    <row r="431" spans="1:8" x14ac:dyDescent="0.3">
      <c r="A431" s="11">
        <v>430</v>
      </c>
      <c r="B431" s="13">
        <v>40562</v>
      </c>
      <c r="C431" s="11">
        <v>1</v>
      </c>
      <c r="D431" s="11">
        <v>22</v>
      </c>
      <c r="E431" s="1" t="b">
        <v>0</v>
      </c>
      <c r="F431" s="11">
        <v>3</v>
      </c>
      <c r="G431" s="11">
        <v>1</v>
      </c>
      <c r="H431" s="10">
        <v>0.3</v>
      </c>
    </row>
    <row r="432" spans="1:8" x14ac:dyDescent="0.3">
      <c r="A432" s="11">
        <v>431</v>
      </c>
      <c r="B432" s="13">
        <v>40562</v>
      </c>
      <c r="C432" s="11">
        <v>1</v>
      </c>
      <c r="D432" s="11">
        <v>23</v>
      </c>
      <c r="E432" s="1" t="b">
        <v>0</v>
      </c>
      <c r="F432" s="11">
        <v>3</v>
      </c>
      <c r="G432" s="11">
        <v>1</v>
      </c>
      <c r="H432" s="10">
        <v>0.3</v>
      </c>
    </row>
    <row r="433" spans="1:8" x14ac:dyDescent="0.3">
      <c r="A433" s="11">
        <v>432</v>
      </c>
      <c r="B433" s="13">
        <v>40563</v>
      </c>
      <c r="C433" s="11">
        <v>1</v>
      </c>
      <c r="D433" s="11">
        <v>0</v>
      </c>
      <c r="E433" s="1" t="b">
        <v>0</v>
      </c>
      <c r="F433" s="11">
        <v>4</v>
      </c>
      <c r="G433" s="11">
        <v>1</v>
      </c>
      <c r="H433" s="10">
        <v>0.26</v>
      </c>
    </row>
    <row r="434" spans="1:8" x14ac:dyDescent="0.3">
      <c r="A434" s="11">
        <v>433</v>
      </c>
      <c r="B434" s="13">
        <v>40563</v>
      </c>
      <c r="C434" s="11">
        <v>1</v>
      </c>
      <c r="D434" s="11">
        <v>1</v>
      </c>
      <c r="E434" s="1" t="b">
        <v>0</v>
      </c>
      <c r="F434" s="11">
        <v>4</v>
      </c>
      <c r="G434" s="11">
        <v>1</v>
      </c>
      <c r="H434" s="10">
        <v>0.26</v>
      </c>
    </row>
    <row r="435" spans="1:8" x14ac:dyDescent="0.3">
      <c r="A435" s="11">
        <v>434</v>
      </c>
      <c r="B435" s="13">
        <v>40563</v>
      </c>
      <c r="C435" s="11">
        <v>1</v>
      </c>
      <c r="D435" s="11">
        <v>2</v>
      </c>
      <c r="E435" s="1" t="b">
        <v>0</v>
      </c>
      <c r="F435" s="11">
        <v>4</v>
      </c>
      <c r="G435" s="11">
        <v>1</v>
      </c>
      <c r="H435" s="10">
        <v>0.26</v>
      </c>
    </row>
    <row r="436" spans="1:8" x14ac:dyDescent="0.3">
      <c r="A436" s="11">
        <v>435</v>
      </c>
      <c r="B436" s="13">
        <v>40563</v>
      </c>
      <c r="C436" s="11">
        <v>1</v>
      </c>
      <c r="D436" s="11">
        <v>3</v>
      </c>
      <c r="E436" s="1" t="b">
        <v>0</v>
      </c>
      <c r="F436" s="11">
        <v>4</v>
      </c>
      <c r="G436" s="11">
        <v>1</v>
      </c>
      <c r="H436" s="10">
        <v>0.26</v>
      </c>
    </row>
    <row r="437" spans="1:8" x14ac:dyDescent="0.3">
      <c r="A437" s="11">
        <v>436</v>
      </c>
      <c r="B437" s="13">
        <v>40563</v>
      </c>
      <c r="C437" s="11">
        <v>1</v>
      </c>
      <c r="D437" s="11">
        <v>4</v>
      </c>
      <c r="E437" s="1" t="b">
        <v>0</v>
      </c>
      <c r="F437" s="11">
        <v>4</v>
      </c>
      <c r="G437" s="11">
        <v>1</v>
      </c>
      <c r="H437" s="10">
        <v>0.26</v>
      </c>
    </row>
    <row r="438" spans="1:8" x14ac:dyDescent="0.3">
      <c r="A438" s="11">
        <v>437</v>
      </c>
      <c r="B438" s="13">
        <v>40563</v>
      </c>
      <c r="C438" s="11">
        <v>1</v>
      </c>
      <c r="D438" s="11">
        <v>5</v>
      </c>
      <c r="E438" s="1" t="b">
        <v>0</v>
      </c>
      <c r="F438" s="11">
        <v>4</v>
      </c>
      <c r="G438" s="11">
        <v>1</v>
      </c>
      <c r="H438" s="10">
        <v>0.24</v>
      </c>
    </row>
    <row r="439" spans="1:8" x14ac:dyDescent="0.3">
      <c r="A439" s="11">
        <v>438</v>
      </c>
      <c r="B439" s="13">
        <v>40563</v>
      </c>
      <c r="C439" s="11">
        <v>1</v>
      </c>
      <c r="D439" s="11">
        <v>6</v>
      </c>
      <c r="E439" s="1" t="b">
        <v>0</v>
      </c>
      <c r="F439" s="11">
        <v>4</v>
      </c>
      <c r="G439" s="11">
        <v>1</v>
      </c>
      <c r="H439" s="10">
        <v>0.22</v>
      </c>
    </row>
    <row r="440" spans="1:8" x14ac:dyDescent="0.3">
      <c r="A440" s="11">
        <v>439</v>
      </c>
      <c r="B440" s="13">
        <v>40563</v>
      </c>
      <c r="C440" s="11">
        <v>1</v>
      </c>
      <c r="D440" s="11">
        <v>7</v>
      </c>
      <c r="E440" s="1" t="b">
        <v>0</v>
      </c>
      <c r="F440" s="11">
        <v>4</v>
      </c>
      <c r="G440" s="11">
        <v>1</v>
      </c>
      <c r="H440" s="10">
        <v>0.22</v>
      </c>
    </row>
    <row r="441" spans="1:8" x14ac:dyDescent="0.3">
      <c r="A441" s="11">
        <v>440</v>
      </c>
      <c r="B441" s="13">
        <v>40563</v>
      </c>
      <c r="C441" s="11">
        <v>1</v>
      </c>
      <c r="D441" s="11">
        <v>8</v>
      </c>
      <c r="E441" s="1" t="b">
        <v>0</v>
      </c>
      <c r="F441" s="11">
        <v>4</v>
      </c>
      <c r="G441" s="11">
        <v>1</v>
      </c>
      <c r="H441" s="10">
        <v>0.22</v>
      </c>
    </row>
    <row r="442" spans="1:8" x14ac:dyDescent="0.3">
      <c r="A442" s="11">
        <v>441</v>
      </c>
      <c r="B442" s="13">
        <v>40563</v>
      </c>
      <c r="C442" s="11">
        <v>1</v>
      </c>
      <c r="D442" s="11">
        <v>9</v>
      </c>
      <c r="E442" s="1" t="b">
        <v>0</v>
      </c>
      <c r="F442" s="11">
        <v>4</v>
      </c>
      <c r="G442" s="11">
        <v>2</v>
      </c>
      <c r="H442" s="10">
        <v>0.24</v>
      </c>
    </row>
    <row r="443" spans="1:8" x14ac:dyDescent="0.3">
      <c r="A443" s="11">
        <v>442</v>
      </c>
      <c r="B443" s="13">
        <v>40563</v>
      </c>
      <c r="C443" s="11">
        <v>1</v>
      </c>
      <c r="D443" s="11">
        <v>10</v>
      </c>
      <c r="E443" s="1" t="b">
        <v>0</v>
      </c>
      <c r="F443" s="11">
        <v>4</v>
      </c>
      <c r="G443" s="11">
        <v>1</v>
      </c>
      <c r="H443" s="10">
        <v>0.26</v>
      </c>
    </row>
    <row r="444" spans="1:8" x14ac:dyDescent="0.3">
      <c r="A444" s="11">
        <v>443</v>
      </c>
      <c r="B444" s="13">
        <v>40563</v>
      </c>
      <c r="C444" s="11">
        <v>1</v>
      </c>
      <c r="D444" s="11">
        <v>11</v>
      </c>
      <c r="E444" s="1" t="b">
        <v>0</v>
      </c>
      <c r="F444" s="11">
        <v>4</v>
      </c>
      <c r="G444" s="11">
        <v>2</v>
      </c>
      <c r="H444" s="10">
        <v>0.28000000000000003</v>
      </c>
    </row>
    <row r="445" spans="1:8" x14ac:dyDescent="0.3">
      <c r="A445" s="11">
        <v>444</v>
      </c>
      <c r="B445" s="13">
        <v>40563</v>
      </c>
      <c r="C445" s="11">
        <v>1</v>
      </c>
      <c r="D445" s="11">
        <v>12</v>
      </c>
      <c r="E445" s="1" t="b">
        <v>0</v>
      </c>
      <c r="F445" s="11">
        <v>4</v>
      </c>
      <c r="G445" s="11">
        <v>2</v>
      </c>
      <c r="H445" s="10">
        <v>0.3</v>
      </c>
    </row>
    <row r="446" spans="1:8" x14ac:dyDescent="0.3">
      <c r="A446" s="11">
        <v>445</v>
      </c>
      <c r="B446" s="13">
        <v>40563</v>
      </c>
      <c r="C446" s="11">
        <v>1</v>
      </c>
      <c r="D446" s="11">
        <v>13</v>
      </c>
      <c r="E446" s="1" t="b">
        <v>0</v>
      </c>
      <c r="F446" s="11">
        <v>4</v>
      </c>
      <c r="G446" s="11">
        <v>2</v>
      </c>
      <c r="H446" s="10">
        <v>0.28000000000000003</v>
      </c>
    </row>
    <row r="447" spans="1:8" x14ac:dyDescent="0.3">
      <c r="A447" s="11">
        <v>446</v>
      </c>
      <c r="B447" s="13">
        <v>40563</v>
      </c>
      <c r="C447" s="11">
        <v>1</v>
      </c>
      <c r="D447" s="11">
        <v>14</v>
      </c>
      <c r="E447" s="1" t="b">
        <v>0</v>
      </c>
      <c r="F447" s="11">
        <v>4</v>
      </c>
      <c r="G447" s="11">
        <v>2</v>
      </c>
      <c r="H447" s="10">
        <v>0.3</v>
      </c>
    </row>
    <row r="448" spans="1:8" x14ac:dyDescent="0.3">
      <c r="A448" s="11">
        <v>447</v>
      </c>
      <c r="B448" s="13">
        <v>40563</v>
      </c>
      <c r="C448" s="11">
        <v>1</v>
      </c>
      <c r="D448" s="11">
        <v>15</v>
      </c>
      <c r="E448" s="1" t="b">
        <v>0</v>
      </c>
      <c r="F448" s="11">
        <v>4</v>
      </c>
      <c r="G448" s="11">
        <v>2</v>
      </c>
      <c r="H448" s="10">
        <v>0.32</v>
      </c>
    </row>
    <row r="449" spans="1:8" x14ac:dyDescent="0.3">
      <c r="A449" s="11">
        <v>448</v>
      </c>
      <c r="B449" s="13">
        <v>40563</v>
      </c>
      <c r="C449" s="11">
        <v>1</v>
      </c>
      <c r="D449" s="11">
        <v>16</v>
      </c>
      <c r="E449" s="1" t="b">
        <v>0</v>
      </c>
      <c r="F449" s="11">
        <v>4</v>
      </c>
      <c r="G449" s="11">
        <v>2</v>
      </c>
      <c r="H449" s="10">
        <v>0.3</v>
      </c>
    </row>
    <row r="450" spans="1:8" x14ac:dyDescent="0.3">
      <c r="A450" s="11">
        <v>449</v>
      </c>
      <c r="B450" s="13">
        <v>40563</v>
      </c>
      <c r="C450" s="11">
        <v>1</v>
      </c>
      <c r="D450" s="11">
        <v>17</v>
      </c>
      <c r="E450" s="1" t="b">
        <v>0</v>
      </c>
      <c r="F450" s="11">
        <v>4</v>
      </c>
      <c r="G450" s="11">
        <v>2</v>
      </c>
      <c r="H450" s="10">
        <v>0.3</v>
      </c>
    </row>
    <row r="451" spans="1:8" x14ac:dyDescent="0.3">
      <c r="A451" s="11">
        <v>450</v>
      </c>
      <c r="B451" s="13">
        <v>40563</v>
      </c>
      <c r="C451" s="11">
        <v>1</v>
      </c>
      <c r="D451" s="11">
        <v>18</v>
      </c>
      <c r="E451" s="1" t="b">
        <v>0</v>
      </c>
      <c r="F451" s="11">
        <v>4</v>
      </c>
      <c r="G451" s="11">
        <v>2</v>
      </c>
      <c r="H451" s="10">
        <v>0.26</v>
      </c>
    </row>
    <row r="452" spans="1:8" x14ac:dyDescent="0.3">
      <c r="A452" s="11">
        <v>451</v>
      </c>
      <c r="B452" s="13">
        <v>40563</v>
      </c>
      <c r="C452" s="11">
        <v>1</v>
      </c>
      <c r="D452" s="11">
        <v>19</v>
      </c>
      <c r="E452" s="1" t="b">
        <v>0</v>
      </c>
      <c r="F452" s="11">
        <v>4</v>
      </c>
      <c r="G452" s="11">
        <v>1</v>
      </c>
      <c r="H452" s="10">
        <v>0.26</v>
      </c>
    </row>
    <row r="453" spans="1:8" x14ac:dyDescent="0.3">
      <c r="A453" s="11">
        <v>452</v>
      </c>
      <c r="B453" s="13">
        <v>40563</v>
      </c>
      <c r="C453" s="11">
        <v>1</v>
      </c>
      <c r="D453" s="11">
        <v>20</v>
      </c>
      <c r="E453" s="1" t="b">
        <v>0</v>
      </c>
      <c r="F453" s="11">
        <v>4</v>
      </c>
      <c r="G453" s="11">
        <v>2</v>
      </c>
      <c r="H453" s="10">
        <v>0.26</v>
      </c>
    </row>
    <row r="454" spans="1:8" x14ac:dyDescent="0.3">
      <c r="A454" s="11">
        <v>453</v>
      </c>
      <c r="B454" s="13">
        <v>40563</v>
      </c>
      <c r="C454" s="11">
        <v>1</v>
      </c>
      <c r="D454" s="11">
        <v>21</v>
      </c>
      <c r="E454" s="1" t="b">
        <v>0</v>
      </c>
      <c r="F454" s="11">
        <v>4</v>
      </c>
      <c r="G454" s="11">
        <v>2</v>
      </c>
      <c r="H454" s="10">
        <v>0.24</v>
      </c>
    </row>
    <row r="455" spans="1:8" x14ac:dyDescent="0.3">
      <c r="A455" s="11">
        <v>454</v>
      </c>
      <c r="B455" s="13">
        <v>40563</v>
      </c>
      <c r="C455" s="11">
        <v>1</v>
      </c>
      <c r="D455" s="11">
        <v>22</v>
      </c>
      <c r="E455" s="1" t="b">
        <v>0</v>
      </c>
      <c r="F455" s="11">
        <v>4</v>
      </c>
      <c r="G455" s="11">
        <v>2</v>
      </c>
      <c r="H455" s="10">
        <v>0.24</v>
      </c>
    </row>
    <row r="456" spans="1:8" x14ac:dyDescent="0.3">
      <c r="A456" s="11">
        <v>455</v>
      </c>
      <c r="B456" s="13">
        <v>40563</v>
      </c>
      <c r="C456" s="11">
        <v>1</v>
      </c>
      <c r="D456" s="11">
        <v>23</v>
      </c>
      <c r="E456" s="1" t="b">
        <v>0</v>
      </c>
      <c r="F456" s="11">
        <v>4</v>
      </c>
      <c r="G456" s="11">
        <v>2</v>
      </c>
      <c r="H456" s="10">
        <v>0.24</v>
      </c>
    </row>
    <row r="457" spans="1:8" x14ac:dyDescent="0.3">
      <c r="A457" s="11">
        <v>456</v>
      </c>
      <c r="B457" s="13">
        <v>40564</v>
      </c>
      <c r="C457" s="11">
        <v>1</v>
      </c>
      <c r="D457" s="11">
        <v>0</v>
      </c>
      <c r="E457" s="1" t="b">
        <v>0</v>
      </c>
      <c r="F457" s="11">
        <v>5</v>
      </c>
      <c r="G457" s="11">
        <v>2</v>
      </c>
      <c r="H457" s="10">
        <v>0.24</v>
      </c>
    </row>
    <row r="458" spans="1:8" x14ac:dyDescent="0.3">
      <c r="A458" s="11">
        <v>457</v>
      </c>
      <c r="B458" s="13">
        <v>40564</v>
      </c>
      <c r="C458" s="11">
        <v>1</v>
      </c>
      <c r="D458" s="11">
        <v>1</v>
      </c>
      <c r="E458" s="1" t="b">
        <v>0</v>
      </c>
      <c r="F458" s="11">
        <v>5</v>
      </c>
      <c r="G458" s="11">
        <v>2</v>
      </c>
      <c r="H458" s="10">
        <v>0.24</v>
      </c>
    </row>
    <row r="459" spans="1:8" x14ac:dyDescent="0.3">
      <c r="A459" s="11">
        <v>458</v>
      </c>
      <c r="B459" s="13">
        <v>40564</v>
      </c>
      <c r="C459" s="11">
        <v>1</v>
      </c>
      <c r="D459" s="11">
        <v>2</v>
      </c>
      <c r="E459" s="1" t="b">
        <v>0</v>
      </c>
      <c r="F459" s="11">
        <v>5</v>
      </c>
      <c r="G459" s="11">
        <v>3</v>
      </c>
      <c r="H459" s="10">
        <v>0.24</v>
      </c>
    </row>
    <row r="460" spans="1:8" x14ac:dyDescent="0.3">
      <c r="A460" s="11">
        <v>459</v>
      </c>
      <c r="B460" s="13">
        <v>40564</v>
      </c>
      <c r="C460" s="11">
        <v>1</v>
      </c>
      <c r="D460" s="11">
        <v>3</v>
      </c>
      <c r="E460" s="1" t="b">
        <v>0</v>
      </c>
      <c r="F460" s="11">
        <v>5</v>
      </c>
      <c r="G460" s="11">
        <v>3</v>
      </c>
      <c r="H460" s="10">
        <v>0.22</v>
      </c>
    </row>
    <row r="461" spans="1:8" x14ac:dyDescent="0.3">
      <c r="A461" s="11">
        <v>460</v>
      </c>
      <c r="B461" s="13">
        <v>40564</v>
      </c>
      <c r="C461" s="11">
        <v>1</v>
      </c>
      <c r="D461" s="11">
        <v>4</v>
      </c>
      <c r="E461" s="1" t="b">
        <v>0</v>
      </c>
      <c r="F461" s="11">
        <v>5</v>
      </c>
      <c r="G461" s="11">
        <v>2</v>
      </c>
      <c r="H461" s="10">
        <v>0.22</v>
      </c>
    </row>
    <row r="462" spans="1:8" x14ac:dyDescent="0.3">
      <c r="A462" s="11">
        <v>461</v>
      </c>
      <c r="B462" s="13">
        <v>40564</v>
      </c>
      <c r="C462" s="11">
        <v>1</v>
      </c>
      <c r="D462" s="11">
        <v>5</v>
      </c>
      <c r="E462" s="1" t="b">
        <v>0</v>
      </c>
      <c r="F462" s="11">
        <v>5</v>
      </c>
      <c r="G462" s="11">
        <v>1</v>
      </c>
      <c r="H462" s="10">
        <v>0.24</v>
      </c>
    </row>
    <row r="463" spans="1:8" x14ac:dyDescent="0.3">
      <c r="A463" s="11">
        <v>462</v>
      </c>
      <c r="B463" s="13">
        <v>40564</v>
      </c>
      <c r="C463" s="11">
        <v>1</v>
      </c>
      <c r="D463" s="11">
        <v>6</v>
      </c>
      <c r="E463" s="1" t="b">
        <v>0</v>
      </c>
      <c r="F463" s="11">
        <v>5</v>
      </c>
      <c r="G463" s="11">
        <v>1</v>
      </c>
      <c r="H463" s="10">
        <v>0.22</v>
      </c>
    </row>
    <row r="464" spans="1:8" x14ac:dyDescent="0.3">
      <c r="A464" s="11">
        <v>463</v>
      </c>
      <c r="B464" s="13">
        <v>40564</v>
      </c>
      <c r="C464" s="11">
        <v>1</v>
      </c>
      <c r="D464" s="11">
        <v>7</v>
      </c>
      <c r="E464" s="1" t="b">
        <v>0</v>
      </c>
      <c r="F464" s="11">
        <v>5</v>
      </c>
      <c r="G464" s="11">
        <v>1</v>
      </c>
      <c r="H464" s="10">
        <v>0.2</v>
      </c>
    </row>
    <row r="465" spans="1:8" x14ac:dyDescent="0.3">
      <c r="A465" s="11">
        <v>464</v>
      </c>
      <c r="B465" s="13">
        <v>40564</v>
      </c>
      <c r="C465" s="11">
        <v>1</v>
      </c>
      <c r="D465" s="11">
        <v>8</v>
      </c>
      <c r="E465" s="1" t="b">
        <v>0</v>
      </c>
      <c r="F465" s="11">
        <v>5</v>
      </c>
      <c r="G465" s="11">
        <v>1</v>
      </c>
      <c r="H465" s="10">
        <v>0.2</v>
      </c>
    </row>
    <row r="466" spans="1:8" x14ac:dyDescent="0.3">
      <c r="A466" s="11">
        <v>465</v>
      </c>
      <c r="B466" s="13">
        <v>40564</v>
      </c>
      <c r="C466" s="11">
        <v>1</v>
      </c>
      <c r="D466" s="11">
        <v>9</v>
      </c>
      <c r="E466" s="1" t="b">
        <v>0</v>
      </c>
      <c r="F466" s="11">
        <v>5</v>
      </c>
      <c r="G466" s="11">
        <v>1</v>
      </c>
      <c r="H466" s="10">
        <v>0.2</v>
      </c>
    </row>
    <row r="467" spans="1:8" x14ac:dyDescent="0.3">
      <c r="A467" s="11">
        <v>466</v>
      </c>
      <c r="B467" s="13">
        <v>40564</v>
      </c>
      <c r="C467" s="11">
        <v>1</v>
      </c>
      <c r="D467" s="11">
        <v>10</v>
      </c>
      <c r="E467" s="1" t="b">
        <v>0</v>
      </c>
      <c r="F467" s="11">
        <v>5</v>
      </c>
      <c r="G467" s="11">
        <v>1</v>
      </c>
      <c r="H467" s="10">
        <v>0.2</v>
      </c>
    </row>
    <row r="468" spans="1:8" x14ac:dyDescent="0.3">
      <c r="A468" s="11">
        <v>467</v>
      </c>
      <c r="B468" s="13">
        <v>40564</v>
      </c>
      <c r="C468" s="11">
        <v>1</v>
      </c>
      <c r="D468" s="11">
        <v>11</v>
      </c>
      <c r="E468" s="1" t="b">
        <v>0</v>
      </c>
      <c r="F468" s="11">
        <v>5</v>
      </c>
      <c r="G468" s="11">
        <v>1</v>
      </c>
      <c r="H468" s="10">
        <v>0.22</v>
      </c>
    </row>
    <row r="469" spans="1:8" x14ac:dyDescent="0.3">
      <c r="A469" s="11">
        <v>468</v>
      </c>
      <c r="B469" s="13">
        <v>40564</v>
      </c>
      <c r="C469" s="11">
        <v>1</v>
      </c>
      <c r="D469" s="11">
        <v>12</v>
      </c>
      <c r="E469" s="1" t="b">
        <v>0</v>
      </c>
      <c r="F469" s="11">
        <v>5</v>
      </c>
      <c r="G469" s="11">
        <v>1</v>
      </c>
      <c r="H469" s="10">
        <v>0.22</v>
      </c>
    </row>
    <row r="470" spans="1:8" x14ac:dyDescent="0.3">
      <c r="A470" s="11">
        <v>469</v>
      </c>
      <c r="B470" s="13">
        <v>40564</v>
      </c>
      <c r="C470" s="11">
        <v>1</v>
      </c>
      <c r="D470" s="11">
        <v>13</v>
      </c>
      <c r="E470" s="1" t="b">
        <v>0</v>
      </c>
      <c r="F470" s="11">
        <v>5</v>
      </c>
      <c r="G470" s="11">
        <v>1</v>
      </c>
      <c r="H470" s="10">
        <v>0.2</v>
      </c>
    </row>
    <row r="471" spans="1:8" x14ac:dyDescent="0.3">
      <c r="A471" s="11">
        <v>470</v>
      </c>
      <c r="B471" s="13">
        <v>40564</v>
      </c>
      <c r="C471" s="11">
        <v>1</v>
      </c>
      <c r="D471" s="11">
        <v>14</v>
      </c>
      <c r="E471" s="1" t="b">
        <v>0</v>
      </c>
      <c r="F471" s="11">
        <v>5</v>
      </c>
      <c r="G471" s="11">
        <v>1</v>
      </c>
      <c r="H471" s="10">
        <v>0.2</v>
      </c>
    </row>
    <row r="472" spans="1:8" x14ac:dyDescent="0.3">
      <c r="A472" s="11">
        <v>471</v>
      </c>
      <c r="B472" s="13">
        <v>40564</v>
      </c>
      <c r="C472" s="11">
        <v>1</v>
      </c>
      <c r="D472" s="11">
        <v>15</v>
      </c>
      <c r="E472" s="1" t="b">
        <v>0</v>
      </c>
      <c r="F472" s="11">
        <v>5</v>
      </c>
      <c r="G472" s="11">
        <v>1</v>
      </c>
      <c r="H472" s="10">
        <v>0.16</v>
      </c>
    </row>
    <row r="473" spans="1:8" x14ac:dyDescent="0.3">
      <c r="A473" s="11">
        <v>472</v>
      </c>
      <c r="B473" s="13">
        <v>40564</v>
      </c>
      <c r="C473" s="11">
        <v>1</v>
      </c>
      <c r="D473" s="11">
        <v>16</v>
      </c>
      <c r="E473" s="1" t="b">
        <v>0</v>
      </c>
      <c r="F473" s="11">
        <v>5</v>
      </c>
      <c r="G473" s="11">
        <v>1</v>
      </c>
      <c r="H473" s="10">
        <v>0.16</v>
      </c>
    </row>
    <row r="474" spans="1:8" x14ac:dyDescent="0.3">
      <c r="A474" s="11">
        <v>473</v>
      </c>
      <c r="B474" s="13">
        <v>40564</v>
      </c>
      <c r="C474" s="11">
        <v>1</v>
      </c>
      <c r="D474" s="11">
        <v>17</v>
      </c>
      <c r="E474" s="1" t="b">
        <v>0</v>
      </c>
      <c r="F474" s="11">
        <v>5</v>
      </c>
      <c r="G474" s="11">
        <v>1</v>
      </c>
      <c r="H474" s="10">
        <v>0.14000000000000001</v>
      </c>
    </row>
    <row r="475" spans="1:8" x14ac:dyDescent="0.3">
      <c r="A475" s="11">
        <v>474</v>
      </c>
      <c r="B475" s="13">
        <v>40564</v>
      </c>
      <c r="C475" s="11">
        <v>1</v>
      </c>
      <c r="D475" s="11">
        <v>18</v>
      </c>
      <c r="E475" s="1" t="b">
        <v>0</v>
      </c>
      <c r="F475" s="11">
        <v>5</v>
      </c>
      <c r="G475" s="11">
        <v>1</v>
      </c>
      <c r="H475" s="10">
        <v>0.12</v>
      </c>
    </row>
    <row r="476" spans="1:8" x14ac:dyDescent="0.3">
      <c r="A476" s="11">
        <v>475</v>
      </c>
      <c r="B476" s="13">
        <v>40564</v>
      </c>
      <c r="C476" s="11">
        <v>1</v>
      </c>
      <c r="D476" s="11">
        <v>19</v>
      </c>
      <c r="E476" s="1" t="b">
        <v>0</v>
      </c>
      <c r="F476" s="11">
        <v>5</v>
      </c>
      <c r="G476" s="11">
        <v>1</v>
      </c>
      <c r="H476" s="10">
        <v>0.12</v>
      </c>
    </row>
    <row r="477" spans="1:8" x14ac:dyDescent="0.3">
      <c r="A477" s="11">
        <v>476</v>
      </c>
      <c r="B477" s="13">
        <v>40564</v>
      </c>
      <c r="C477" s="11">
        <v>1</v>
      </c>
      <c r="D477" s="11">
        <v>20</v>
      </c>
      <c r="E477" s="1" t="b">
        <v>0</v>
      </c>
      <c r="F477" s="11">
        <v>5</v>
      </c>
      <c r="G477" s="11">
        <v>1</v>
      </c>
      <c r="H477" s="10">
        <v>0.1</v>
      </c>
    </row>
    <row r="478" spans="1:8" x14ac:dyDescent="0.3">
      <c r="A478" s="11">
        <v>477</v>
      </c>
      <c r="B478" s="13">
        <v>40564</v>
      </c>
      <c r="C478" s="11">
        <v>1</v>
      </c>
      <c r="D478" s="11">
        <v>21</v>
      </c>
      <c r="E478" s="1" t="b">
        <v>0</v>
      </c>
      <c r="F478" s="11">
        <v>5</v>
      </c>
      <c r="G478" s="11">
        <v>1</v>
      </c>
      <c r="H478" s="10">
        <v>0.08</v>
      </c>
    </row>
    <row r="479" spans="1:8" x14ac:dyDescent="0.3">
      <c r="A479" s="11">
        <v>478</v>
      </c>
      <c r="B479" s="13">
        <v>40564</v>
      </c>
      <c r="C479" s="11">
        <v>1</v>
      </c>
      <c r="D479" s="11">
        <v>22</v>
      </c>
      <c r="E479" s="1" t="b">
        <v>0</v>
      </c>
      <c r="F479" s="11">
        <v>5</v>
      </c>
      <c r="G479" s="11">
        <v>1</v>
      </c>
      <c r="H479" s="10">
        <v>0.06</v>
      </c>
    </row>
    <row r="480" spans="1:8" x14ac:dyDescent="0.3">
      <c r="A480" s="11">
        <v>479</v>
      </c>
      <c r="B480" s="13">
        <v>40564</v>
      </c>
      <c r="C480" s="11">
        <v>1</v>
      </c>
      <c r="D480" s="11">
        <v>23</v>
      </c>
      <c r="E480" s="1" t="b">
        <v>0</v>
      </c>
      <c r="F480" s="11">
        <v>5</v>
      </c>
      <c r="G480" s="11">
        <v>1</v>
      </c>
      <c r="H480" s="10">
        <v>0.06</v>
      </c>
    </row>
    <row r="481" spans="1:8" x14ac:dyDescent="0.3">
      <c r="A481" s="11">
        <v>480</v>
      </c>
      <c r="B481" s="13">
        <v>40565</v>
      </c>
      <c r="C481" s="11">
        <v>1</v>
      </c>
      <c r="D481" s="11">
        <v>0</v>
      </c>
      <c r="E481" s="1" t="b">
        <v>0</v>
      </c>
      <c r="F481" s="11">
        <v>6</v>
      </c>
      <c r="G481" s="11">
        <v>1</v>
      </c>
      <c r="H481" s="10">
        <v>0.04</v>
      </c>
    </row>
    <row r="482" spans="1:8" x14ac:dyDescent="0.3">
      <c r="A482" s="11">
        <v>481</v>
      </c>
      <c r="B482" s="13">
        <v>40565</v>
      </c>
      <c r="C482" s="11">
        <v>1</v>
      </c>
      <c r="D482" s="11">
        <v>1</v>
      </c>
      <c r="E482" s="1" t="b">
        <v>0</v>
      </c>
      <c r="F482" s="11">
        <v>6</v>
      </c>
      <c r="G482" s="11">
        <v>2</v>
      </c>
      <c r="H482" s="10">
        <v>0.04</v>
      </c>
    </row>
    <row r="483" spans="1:8" x14ac:dyDescent="0.3">
      <c r="A483" s="11">
        <v>482</v>
      </c>
      <c r="B483" s="13">
        <v>40565</v>
      </c>
      <c r="C483" s="11">
        <v>1</v>
      </c>
      <c r="D483" s="11">
        <v>2</v>
      </c>
      <c r="E483" s="1" t="b">
        <v>0</v>
      </c>
      <c r="F483" s="11">
        <v>6</v>
      </c>
      <c r="G483" s="11">
        <v>2</v>
      </c>
      <c r="H483" s="10">
        <v>0.04</v>
      </c>
    </row>
    <row r="484" spans="1:8" x14ac:dyDescent="0.3">
      <c r="A484" s="11">
        <v>483</v>
      </c>
      <c r="B484" s="13">
        <v>40565</v>
      </c>
      <c r="C484" s="11">
        <v>1</v>
      </c>
      <c r="D484" s="11">
        <v>3</v>
      </c>
      <c r="E484" s="1" t="b">
        <v>0</v>
      </c>
      <c r="F484" s="11">
        <v>6</v>
      </c>
      <c r="G484" s="11">
        <v>2</v>
      </c>
      <c r="H484" s="10">
        <v>0.04</v>
      </c>
    </row>
    <row r="485" spans="1:8" x14ac:dyDescent="0.3">
      <c r="A485" s="11">
        <v>484</v>
      </c>
      <c r="B485" s="13">
        <v>40565</v>
      </c>
      <c r="C485" s="11">
        <v>1</v>
      </c>
      <c r="D485" s="11">
        <v>4</v>
      </c>
      <c r="E485" s="1" t="b">
        <v>0</v>
      </c>
      <c r="F485" s="11">
        <v>6</v>
      </c>
      <c r="G485" s="11">
        <v>2</v>
      </c>
      <c r="H485" s="10">
        <v>0.02</v>
      </c>
    </row>
    <row r="486" spans="1:8" x14ac:dyDescent="0.3">
      <c r="A486" s="11">
        <v>485</v>
      </c>
      <c r="B486" s="13">
        <v>40565</v>
      </c>
      <c r="C486" s="11">
        <v>1</v>
      </c>
      <c r="D486" s="11">
        <v>6</v>
      </c>
      <c r="E486" s="1" t="b">
        <v>0</v>
      </c>
      <c r="F486" s="11">
        <v>6</v>
      </c>
      <c r="G486" s="11">
        <v>2</v>
      </c>
      <c r="H486" s="10">
        <v>0.02</v>
      </c>
    </row>
    <row r="487" spans="1:8" x14ac:dyDescent="0.3">
      <c r="A487" s="11">
        <v>486</v>
      </c>
      <c r="B487" s="13">
        <v>40565</v>
      </c>
      <c r="C487" s="11">
        <v>1</v>
      </c>
      <c r="D487" s="11">
        <v>7</v>
      </c>
      <c r="E487" s="1" t="b">
        <v>0</v>
      </c>
      <c r="F487" s="11">
        <v>6</v>
      </c>
      <c r="G487" s="11">
        <v>1</v>
      </c>
      <c r="H487" s="10">
        <v>0.02</v>
      </c>
    </row>
    <row r="488" spans="1:8" x14ac:dyDescent="0.3">
      <c r="A488" s="11">
        <v>487</v>
      </c>
      <c r="B488" s="13">
        <v>40565</v>
      </c>
      <c r="C488" s="11">
        <v>1</v>
      </c>
      <c r="D488" s="11">
        <v>8</v>
      </c>
      <c r="E488" s="1" t="b">
        <v>0</v>
      </c>
      <c r="F488" s="11">
        <v>6</v>
      </c>
      <c r="G488" s="11">
        <v>1</v>
      </c>
      <c r="H488" s="10">
        <v>0.02</v>
      </c>
    </row>
    <row r="489" spans="1:8" x14ac:dyDescent="0.3">
      <c r="A489" s="11">
        <v>488</v>
      </c>
      <c r="B489" s="13">
        <v>40565</v>
      </c>
      <c r="C489" s="11">
        <v>1</v>
      </c>
      <c r="D489" s="11">
        <v>9</v>
      </c>
      <c r="E489" s="1" t="b">
        <v>0</v>
      </c>
      <c r="F489" s="11">
        <v>6</v>
      </c>
      <c r="G489" s="11">
        <v>1</v>
      </c>
      <c r="H489" s="10">
        <v>0.04</v>
      </c>
    </row>
    <row r="490" spans="1:8" x14ac:dyDescent="0.3">
      <c r="A490" s="11">
        <v>489</v>
      </c>
      <c r="B490" s="13">
        <v>40565</v>
      </c>
      <c r="C490" s="11">
        <v>1</v>
      </c>
      <c r="D490" s="11">
        <v>10</v>
      </c>
      <c r="E490" s="1" t="b">
        <v>0</v>
      </c>
      <c r="F490" s="11">
        <v>6</v>
      </c>
      <c r="G490" s="11">
        <v>2</v>
      </c>
      <c r="H490" s="10">
        <v>0.04</v>
      </c>
    </row>
    <row r="491" spans="1:8" x14ac:dyDescent="0.3">
      <c r="A491" s="11">
        <v>490</v>
      </c>
      <c r="B491" s="13">
        <v>40565</v>
      </c>
      <c r="C491" s="11">
        <v>1</v>
      </c>
      <c r="D491" s="11">
        <v>11</v>
      </c>
      <c r="E491" s="1" t="b">
        <v>0</v>
      </c>
      <c r="F491" s="11">
        <v>6</v>
      </c>
      <c r="G491" s="11">
        <v>2</v>
      </c>
      <c r="H491" s="10">
        <v>0.06</v>
      </c>
    </row>
    <row r="492" spans="1:8" x14ac:dyDescent="0.3">
      <c r="A492" s="11">
        <v>491</v>
      </c>
      <c r="B492" s="13">
        <v>40565</v>
      </c>
      <c r="C492" s="11">
        <v>1</v>
      </c>
      <c r="D492" s="11">
        <v>12</v>
      </c>
      <c r="E492" s="1" t="b">
        <v>0</v>
      </c>
      <c r="F492" s="11">
        <v>6</v>
      </c>
      <c r="G492" s="11">
        <v>2</v>
      </c>
      <c r="H492" s="10">
        <v>0.06</v>
      </c>
    </row>
    <row r="493" spans="1:8" x14ac:dyDescent="0.3">
      <c r="A493" s="11">
        <v>492</v>
      </c>
      <c r="B493" s="13">
        <v>40565</v>
      </c>
      <c r="C493" s="11">
        <v>1</v>
      </c>
      <c r="D493" s="11">
        <v>13</v>
      </c>
      <c r="E493" s="1" t="b">
        <v>0</v>
      </c>
      <c r="F493" s="11">
        <v>6</v>
      </c>
      <c r="G493" s="11">
        <v>1</v>
      </c>
      <c r="H493" s="10">
        <v>0.08</v>
      </c>
    </row>
    <row r="494" spans="1:8" x14ac:dyDescent="0.3">
      <c r="A494" s="11">
        <v>493</v>
      </c>
      <c r="B494" s="13">
        <v>40565</v>
      </c>
      <c r="C494" s="11">
        <v>1</v>
      </c>
      <c r="D494" s="11">
        <v>14</v>
      </c>
      <c r="E494" s="1" t="b">
        <v>0</v>
      </c>
      <c r="F494" s="11">
        <v>6</v>
      </c>
      <c r="G494" s="11">
        <v>1</v>
      </c>
      <c r="H494" s="10">
        <v>0.1</v>
      </c>
    </row>
    <row r="495" spans="1:8" x14ac:dyDescent="0.3">
      <c r="A495" s="11">
        <v>494</v>
      </c>
      <c r="B495" s="13">
        <v>40565</v>
      </c>
      <c r="C495" s="11">
        <v>1</v>
      </c>
      <c r="D495" s="11">
        <v>15</v>
      </c>
      <c r="E495" s="1" t="b">
        <v>0</v>
      </c>
      <c r="F495" s="11">
        <v>6</v>
      </c>
      <c r="G495" s="11">
        <v>1</v>
      </c>
      <c r="H495" s="10">
        <v>0.12</v>
      </c>
    </row>
    <row r="496" spans="1:8" x14ac:dyDescent="0.3">
      <c r="A496" s="11">
        <v>495</v>
      </c>
      <c r="B496" s="13">
        <v>40565</v>
      </c>
      <c r="C496" s="11">
        <v>1</v>
      </c>
      <c r="D496" s="11">
        <v>16</v>
      </c>
      <c r="E496" s="1" t="b">
        <v>0</v>
      </c>
      <c r="F496" s="11">
        <v>6</v>
      </c>
      <c r="G496" s="11">
        <v>1</v>
      </c>
      <c r="H496" s="10">
        <v>0.12</v>
      </c>
    </row>
    <row r="497" spans="1:8" x14ac:dyDescent="0.3">
      <c r="A497" s="11">
        <v>496</v>
      </c>
      <c r="B497" s="13">
        <v>40565</v>
      </c>
      <c r="C497" s="11">
        <v>1</v>
      </c>
      <c r="D497" s="11">
        <v>17</v>
      </c>
      <c r="E497" s="1" t="b">
        <v>0</v>
      </c>
      <c r="F497" s="11">
        <v>6</v>
      </c>
      <c r="G497" s="11">
        <v>1</v>
      </c>
      <c r="H497" s="10">
        <v>0.12</v>
      </c>
    </row>
    <row r="498" spans="1:8" x14ac:dyDescent="0.3">
      <c r="A498" s="11">
        <v>497</v>
      </c>
      <c r="B498" s="13">
        <v>40565</v>
      </c>
      <c r="C498" s="11">
        <v>1</v>
      </c>
      <c r="D498" s="11">
        <v>18</v>
      </c>
      <c r="E498" s="1" t="b">
        <v>0</v>
      </c>
      <c r="F498" s="11">
        <v>6</v>
      </c>
      <c r="G498" s="11">
        <v>1</v>
      </c>
      <c r="H498" s="10">
        <v>0.08</v>
      </c>
    </row>
    <row r="499" spans="1:8" x14ac:dyDescent="0.3">
      <c r="A499" s="11">
        <v>498</v>
      </c>
      <c r="B499" s="13">
        <v>40565</v>
      </c>
      <c r="C499" s="11">
        <v>1</v>
      </c>
      <c r="D499" s="11">
        <v>19</v>
      </c>
      <c r="E499" s="1" t="b">
        <v>0</v>
      </c>
      <c r="F499" s="11">
        <v>6</v>
      </c>
      <c r="G499" s="11">
        <v>1</v>
      </c>
      <c r="H499" s="10">
        <v>0.08</v>
      </c>
    </row>
    <row r="500" spans="1:8" x14ac:dyDescent="0.3">
      <c r="A500" s="11">
        <v>499</v>
      </c>
      <c r="B500" s="13">
        <v>40565</v>
      </c>
      <c r="C500" s="11">
        <v>1</v>
      </c>
      <c r="D500" s="11">
        <v>20</v>
      </c>
      <c r="E500" s="1" t="b">
        <v>0</v>
      </c>
      <c r="F500" s="11">
        <v>6</v>
      </c>
      <c r="G500" s="11">
        <v>1</v>
      </c>
      <c r="H500" s="10">
        <v>0.06</v>
      </c>
    </row>
    <row r="501" spans="1:8" x14ac:dyDescent="0.3">
      <c r="A501" s="11">
        <v>500</v>
      </c>
      <c r="B501" s="13">
        <v>40565</v>
      </c>
      <c r="C501" s="11">
        <v>1</v>
      </c>
      <c r="D501" s="11">
        <v>21</v>
      </c>
      <c r="E501" s="1" t="b">
        <v>0</v>
      </c>
      <c r="F501" s="11">
        <v>6</v>
      </c>
      <c r="G501" s="11">
        <v>1</v>
      </c>
      <c r="H501" s="10">
        <v>0.06</v>
      </c>
    </row>
    <row r="502" spans="1:8" x14ac:dyDescent="0.3">
      <c r="A502" s="11">
        <v>501</v>
      </c>
      <c r="B502" s="13">
        <v>40565</v>
      </c>
      <c r="C502" s="11">
        <v>1</v>
      </c>
      <c r="D502" s="11">
        <v>22</v>
      </c>
      <c r="E502" s="1" t="b">
        <v>0</v>
      </c>
      <c r="F502" s="11">
        <v>6</v>
      </c>
      <c r="G502" s="11">
        <v>1</v>
      </c>
      <c r="H502" s="10">
        <v>0.06</v>
      </c>
    </row>
    <row r="503" spans="1:8" x14ac:dyDescent="0.3">
      <c r="A503" s="11">
        <v>502</v>
      </c>
      <c r="B503" s="13">
        <v>40565</v>
      </c>
      <c r="C503" s="11">
        <v>1</v>
      </c>
      <c r="D503" s="11">
        <v>23</v>
      </c>
      <c r="E503" s="1" t="b">
        <v>0</v>
      </c>
      <c r="F503" s="11">
        <v>6</v>
      </c>
      <c r="G503" s="11">
        <v>1</v>
      </c>
      <c r="H503" s="10">
        <v>0.04</v>
      </c>
    </row>
    <row r="504" spans="1:8" x14ac:dyDescent="0.3">
      <c r="A504" s="11">
        <v>503</v>
      </c>
      <c r="B504" s="13">
        <v>40566</v>
      </c>
      <c r="C504" s="11">
        <v>1</v>
      </c>
      <c r="D504" s="11">
        <v>0</v>
      </c>
      <c r="E504" s="1" t="b">
        <v>0</v>
      </c>
      <c r="F504" s="11">
        <v>0</v>
      </c>
      <c r="G504" s="11">
        <v>1</v>
      </c>
      <c r="H504" s="10">
        <v>0.04</v>
      </c>
    </row>
    <row r="505" spans="1:8" x14ac:dyDescent="0.3">
      <c r="A505" s="11">
        <v>504</v>
      </c>
      <c r="B505" s="13">
        <v>40566</v>
      </c>
      <c r="C505" s="11">
        <v>1</v>
      </c>
      <c r="D505" s="11">
        <v>1</v>
      </c>
      <c r="E505" s="1" t="b">
        <v>0</v>
      </c>
      <c r="F505" s="11">
        <v>0</v>
      </c>
      <c r="G505" s="11">
        <v>1</v>
      </c>
      <c r="H505" s="10">
        <v>0.04</v>
      </c>
    </row>
    <row r="506" spans="1:8" x14ac:dyDescent="0.3">
      <c r="A506" s="11">
        <v>505</v>
      </c>
      <c r="B506" s="13">
        <v>40566</v>
      </c>
      <c r="C506" s="11">
        <v>1</v>
      </c>
      <c r="D506" s="11">
        <v>2</v>
      </c>
      <c r="E506" s="1" t="b">
        <v>0</v>
      </c>
      <c r="F506" s="11">
        <v>0</v>
      </c>
      <c r="G506" s="11">
        <v>1</v>
      </c>
      <c r="H506" s="10">
        <v>0.02</v>
      </c>
    </row>
    <row r="507" spans="1:8" x14ac:dyDescent="0.3">
      <c r="A507" s="11">
        <v>506</v>
      </c>
      <c r="B507" s="13">
        <v>40566</v>
      </c>
      <c r="C507" s="11">
        <v>1</v>
      </c>
      <c r="D507" s="11">
        <v>3</v>
      </c>
      <c r="E507" s="1" t="b">
        <v>0</v>
      </c>
      <c r="F507" s="11">
        <v>0</v>
      </c>
      <c r="G507" s="11">
        <v>1</v>
      </c>
      <c r="H507" s="10">
        <v>0.02</v>
      </c>
    </row>
    <row r="508" spans="1:8" x14ac:dyDescent="0.3">
      <c r="A508" s="11">
        <v>507</v>
      </c>
      <c r="B508" s="13">
        <v>40566</v>
      </c>
      <c r="C508" s="11">
        <v>1</v>
      </c>
      <c r="D508" s="11">
        <v>5</v>
      </c>
      <c r="E508" s="1" t="b">
        <v>0</v>
      </c>
      <c r="F508" s="11">
        <v>0</v>
      </c>
      <c r="G508" s="11">
        <v>2</v>
      </c>
      <c r="H508" s="10">
        <v>0.04</v>
      </c>
    </row>
    <row r="509" spans="1:8" x14ac:dyDescent="0.3">
      <c r="A509" s="11">
        <v>508</v>
      </c>
      <c r="B509" s="13">
        <v>40566</v>
      </c>
      <c r="C509" s="11">
        <v>1</v>
      </c>
      <c r="D509" s="11">
        <v>6</v>
      </c>
      <c r="E509" s="1" t="b">
        <v>0</v>
      </c>
      <c r="F509" s="11">
        <v>0</v>
      </c>
      <c r="G509" s="11">
        <v>2</v>
      </c>
      <c r="H509" s="10">
        <v>0.04</v>
      </c>
    </row>
    <row r="510" spans="1:8" x14ac:dyDescent="0.3">
      <c r="A510" s="11">
        <v>509</v>
      </c>
      <c r="B510" s="13">
        <v>40566</v>
      </c>
      <c r="C510" s="11">
        <v>1</v>
      </c>
      <c r="D510" s="11">
        <v>7</v>
      </c>
      <c r="E510" s="1" t="b">
        <v>0</v>
      </c>
      <c r="F510" s="11">
        <v>0</v>
      </c>
      <c r="G510" s="11">
        <v>1</v>
      </c>
      <c r="H510" s="10">
        <v>0.08</v>
      </c>
    </row>
    <row r="511" spans="1:8" x14ac:dyDescent="0.3">
      <c r="A511" s="11">
        <v>510</v>
      </c>
      <c r="B511" s="13">
        <v>40566</v>
      </c>
      <c r="C511" s="11">
        <v>1</v>
      </c>
      <c r="D511" s="11">
        <v>8</v>
      </c>
      <c r="E511" s="1" t="b">
        <v>0</v>
      </c>
      <c r="F511" s="11">
        <v>0</v>
      </c>
      <c r="G511" s="11">
        <v>1</v>
      </c>
      <c r="H511" s="10">
        <v>0.06</v>
      </c>
    </row>
    <row r="512" spans="1:8" x14ac:dyDescent="0.3">
      <c r="A512" s="11">
        <v>511</v>
      </c>
      <c r="B512" s="13">
        <v>40566</v>
      </c>
      <c r="C512" s="11">
        <v>1</v>
      </c>
      <c r="D512" s="11">
        <v>9</v>
      </c>
      <c r="E512" s="1" t="b">
        <v>0</v>
      </c>
      <c r="F512" s="11">
        <v>0</v>
      </c>
      <c r="G512" s="11">
        <v>1</v>
      </c>
      <c r="H512" s="10">
        <v>0.1</v>
      </c>
    </row>
    <row r="513" spans="1:8" x14ac:dyDescent="0.3">
      <c r="A513" s="11">
        <v>512</v>
      </c>
      <c r="B513" s="13">
        <v>40566</v>
      </c>
      <c r="C513" s="11">
        <v>1</v>
      </c>
      <c r="D513" s="11">
        <v>10</v>
      </c>
      <c r="E513" s="1" t="b">
        <v>0</v>
      </c>
      <c r="F513" s="11">
        <v>0</v>
      </c>
      <c r="G513" s="11">
        <v>1</v>
      </c>
      <c r="H513" s="10">
        <v>0.14000000000000001</v>
      </c>
    </row>
    <row r="514" spans="1:8" x14ac:dyDescent="0.3">
      <c r="A514" s="11">
        <v>513</v>
      </c>
      <c r="B514" s="13">
        <v>40566</v>
      </c>
      <c r="C514" s="11">
        <v>1</v>
      </c>
      <c r="D514" s="11">
        <v>11</v>
      </c>
      <c r="E514" s="1" t="b">
        <v>0</v>
      </c>
      <c r="F514" s="11">
        <v>0</v>
      </c>
      <c r="G514" s="11">
        <v>1</v>
      </c>
      <c r="H514" s="10">
        <v>0.14000000000000001</v>
      </c>
    </row>
    <row r="515" spans="1:8" x14ac:dyDescent="0.3">
      <c r="A515" s="11">
        <v>514</v>
      </c>
      <c r="B515" s="13">
        <v>40566</v>
      </c>
      <c r="C515" s="11">
        <v>1</v>
      </c>
      <c r="D515" s="11">
        <v>12</v>
      </c>
      <c r="E515" s="1" t="b">
        <v>0</v>
      </c>
      <c r="F515" s="11">
        <v>0</v>
      </c>
      <c r="G515" s="11">
        <v>1</v>
      </c>
      <c r="H515" s="10">
        <v>0.16</v>
      </c>
    </row>
    <row r="516" spans="1:8" x14ac:dyDescent="0.3">
      <c r="A516" s="11">
        <v>515</v>
      </c>
      <c r="B516" s="13">
        <v>40566</v>
      </c>
      <c r="C516" s="11">
        <v>1</v>
      </c>
      <c r="D516" s="11">
        <v>13</v>
      </c>
      <c r="E516" s="1" t="b">
        <v>0</v>
      </c>
      <c r="F516" s="11">
        <v>0</v>
      </c>
      <c r="G516" s="11">
        <v>1</v>
      </c>
      <c r="H516" s="10">
        <v>0.14000000000000001</v>
      </c>
    </row>
    <row r="517" spans="1:8" x14ac:dyDescent="0.3">
      <c r="A517" s="11">
        <v>516</v>
      </c>
      <c r="B517" s="13">
        <v>40566</v>
      </c>
      <c r="C517" s="11">
        <v>1</v>
      </c>
      <c r="D517" s="11">
        <v>14</v>
      </c>
      <c r="E517" s="1" t="b">
        <v>0</v>
      </c>
      <c r="F517" s="11">
        <v>0</v>
      </c>
      <c r="G517" s="11">
        <v>1</v>
      </c>
      <c r="H517" s="10">
        <v>0.16</v>
      </c>
    </row>
    <row r="518" spans="1:8" x14ac:dyDescent="0.3">
      <c r="A518" s="11">
        <v>517</v>
      </c>
      <c r="B518" s="13">
        <v>40566</v>
      </c>
      <c r="C518" s="11">
        <v>1</v>
      </c>
      <c r="D518" s="11">
        <v>15</v>
      </c>
      <c r="E518" s="1" t="b">
        <v>0</v>
      </c>
      <c r="F518" s="11">
        <v>0</v>
      </c>
      <c r="G518" s="11">
        <v>1</v>
      </c>
      <c r="H518" s="10">
        <v>0.16</v>
      </c>
    </row>
    <row r="519" spans="1:8" x14ac:dyDescent="0.3">
      <c r="A519" s="11">
        <v>518</v>
      </c>
      <c r="B519" s="13">
        <v>40566</v>
      </c>
      <c r="C519" s="11">
        <v>1</v>
      </c>
      <c r="D519" s="11">
        <v>16</v>
      </c>
      <c r="E519" s="1" t="b">
        <v>0</v>
      </c>
      <c r="F519" s="11">
        <v>0</v>
      </c>
      <c r="G519" s="11">
        <v>1</v>
      </c>
      <c r="H519" s="10">
        <v>0.16</v>
      </c>
    </row>
    <row r="520" spans="1:8" x14ac:dyDescent="0.3">
      <c r="A520" s="11">
        <v>519</v>
      </c>
      <c r="B520" s="13">
        <v>40566</v>
      </c>
      <c r="C520" s="11">
        <v>1</v>
      </c>
      <c r="D520" s="11">
        <v>17</v>
      </c>
      <c r="E520" s="1" t="b">
        <v>0</v>
      </c>
      <c r="F520" s="11">
        <v>0</v>
      </c>
      <c r="G520" s="11">
        <v>1</v>
      </c>
      <c r="H520" s="10">
        <v>0.14000000000000001</v>
      </c>
    </row>
    <row r="521" spans="1:8" x14ac:dyDescent="0.3">
      <c r="A521" s="11">
        <v>520</v>
      </c>
      <c r="B521" s="13">
        <v>40566</v>
      </c>
      <c r="C521" s="11">
        <v>1</v>
      </c>
      <c r="D521" s="11">
        <v>18</v>
      </c>
      <c r="E521" s="1" t="b">
        <v>0</v>
      </c>
      <c r="F521" s="11">
        <v>0</v>
      </c>
      <c r="G521" s="11">
        <v>1</v>
      </c>
      <c r="H521" s="10">
        <v>0.12</v>
      </c>
    </row>
    <row r="522" spans="1:8" x14ac:dyDescent="0.3">
      <c r="A522" s="11">
        <v>521</v>
      </c>
      <c r="B522" s="13">
        <v>40566</v>
      </c>
      <c r="C522" s="11">
        <v>1</v>
      </c>
      <c r="D522" s="11">
        <v>19</v>
      </c>
      <c r="E522" s="1" t="b">
        <v>0</v>
      </c>
      <c r="F522" s="11">
        <v>0</v>
      </c>
      <c r="G522" s="11">
        <v>1</v>
      </c>
      <c r="H522" s="10">
        <v>0.12</v>
      </c>
    </row>
    <row r="523" spans="1:8" x14ac:dyDescent="0.3">
      <c r="A523" s="11">
        <v>522</v>
      </c>
      <c r="B523" s="13">
        <v>40566</v>
      </c>
      <c r="C523" s="11">
        <v>1</v>
      </c>
      <c r="D523" s="11">
        <v>20</v>
      </c>
      <c r="E523" s="1" t="b">
        <v>0</v>
      </c>
      <c r="F523" s="11">
        <v>0</v>
      </c>
      <c r="G523" s="11">
        <v>1</v>
      </c>
      <c r="H523" s="10">
        <v>0.1</v>
      </c>
    </row>
    <row r="524" spans="1:8" x14ac:dyDescent="0.3">
      <c r="A524" s="11">
        <v>523</v>
      </c>
      <c r="B524" s="13">
        <v>40566</v>
      </c>
      <c r="C524" s="11">
        <v>1</v>
      </c>
      <c r="D524" s="11">
        <v>21</v>
      </c>
      <c r="E524" s="1" t="b">
        <v>0</v>
      </c>
      <c r="F524" s="11">
        <v>0</v>
      </c>
      <c r="G524" s="11">
        <v>1</v>
      </c>
      <c r="H524" s="10">
        <v>0.1</v>
      </c>
    </row>
    <row r="525" spans="1:8" x14ac:dyDescent="0.3">
      <c r="A525" s="11">
        <v>524</v>
      </c>
      <c r="B525" s="13">
        <v>40566</v>
      </c>
      <c r="C525" s="11">
        <v>1</v>
      </c>
      <c r="D525" s="11">
        <v>22</v>
      </c>
      <c r="E525" s="1" t="b">
        <v>0</v>
      </c>
      <c r="F525" s="11">
        <v>0</v>
      </c>
      <c r="G525" s="11">
        <v>1</v>
      </c>
      <c r="H525" s="10">
        <v>0.08</v>
      </c>
    </row>
    <row r="526" spans="1:8" x14ac:dyDescent="0.3">
      <c r="A526" s="11">
        <v>525</v>
      </c>
      <c r="B526" s="13">
        <v>40566</v>
      </c>
      <c r="C526" s="11">
        <v>1</v>
      </c>
      <c r="D526" s="11">
        <v>23</v>
      </c>
      <c r="E526" s="1" t="b">
        <v>0</v>
      </c>
      <c r="F526" s="11">
        <v>0</v>
      </c>
      <c r="G526" s="11">
        <v>1</v>
      </c>
      <c r="H526" s="10">
        <v>0.06</v>
      </c>
    </row>
    <row r="527" spans="1:8" x14ac:dyDescent="0.3">
      <c r="A527" s="11">
        <v>526</v>
      </c>
      <c r="B527" s="13">
        <v>40567</v>
      </c>
      <c r="C527" s="11">
        <v>1</v>
      </c>
      <c r="D527" s="11">
        <v>0</v>
      </c>
      <c r="E527" s="1" t="b">
        <v>0</v>
      </c>
      <c r="F527" s="11">
        <v>1</v>
      </c>
      <c r="G527" s="11">
        <v>1</v>
      </c>
      <c r="H527" s="10">
        <v>0.06</v>
      </c>
    </row>
    <row r="528" spans="1:8" x14ac:dyDescent="0.3">
      <c r="A528" s="11">
        <v>527</v>
      </c>
      <c r="B528" s="13">
        <v>40567</v>
      </c>
      <c r="C528" s="11">
        <v>1</v>
      </c>
      <c r="D528" s="11">
        <v>1</v>
      </c>
      <c r="E528" s="1" t="b">
        <v>0</v>
      </c>
      <c r="F528" s="11">
        <v>1</v>
      </c>
      <c r="G528" s="11">
        <v>1</v>
      </c>
      <c r="H528" s="10">
        <v>0.04</v>
      </c>
    </row>
    <row r="529" spans="1:8" x14ac:dyDescent="0.3">
      <c r="A529" s="11">
        <v>528</v>
      </c>
      <c r="B529" s="13">
        <v>40567</v>
      </c>
      <c r="C529" s="11">
        <v>1</v>
      </c>
      <c r="D529" s="11">
        <v>3</v>
      </c>
      <c r="E529" s="1" t="b">
        <v>0</v>
      </c>
      <c r="F529" s="11">
        <v>1</v>
      </c>
      <c r="G529" s="11">
        <v>1</v>
      </c>
      <c r="H529" s="10">
        <v>0.04</v>
      </c>
    </row>
    <row r="530" spans="1:8" x14ac:dyDescent="0.3">
      <c r="A530" s="11">
        <v>529</v>
      </c>
      <c r="B530" s="13">
        <v>40567</v>
      </c>
      <c r="C530" s="11">
        <v>1</v>
      </c>
      <c r="D530" s="11">
        <v>4</v>
      </c>
      <c r="E530" s="1" t="b">
        <v>0</v>
      </c>
      <c r="F530" s="11">
        <v>1</v>
      </c>
      <c r="G530" s="11">
        <v>1</v>
      </c>
      <c r="H530" s="10">
        <v>0.02</v>
      </c>
    </row>
    <row r="531" spans="1:8" x14ac:dyDescent="0.3">
      <c r="A531" s="11">
        <v>530</v>
      </c>
      <c r="B531" s="13">
        <v>40567</v>
      </c>
      <c r="C531" s="11">
        <v>1</v>
      </c>
      <c r="D531" s="11">
        <v>5</v>
      </c>
      <c r="E531" s="1" t="b">
        <v>0</v>
      </c>
      <c r="F531" s="11">
        <v>1</v>
      </c>
      <c r="G531" s="11">
        <v>1</v>
      </c>
      <c r="H531" s="10">
        <v>0.02</v>
      </c>
    </row>
    <row r="532" spans="1:8" x14ac:dyDescent="0.3">
      <c r="A532" s="11">
        <v>531</v>
      </c>
      <c r="B532" s="13">
        <v>40567</v>
      </c>
      <c r="C532" s="11">
        <v>1</v>
      </c>
      <c r="D532" s="11">
        <v>6</v>
      </c>
      <c r="E532" s="1" t="b">
        <v>0</v>
      </c>
      <c r="F532" s="11">
        <v>1</v>
      </c>
      <c r="G532" s="11">
        <v>1</v>
      </c>
      <c r="H532" s="10">
        <v>0.02</v>
      </c>
    </row>
    <row r="533" spans="1:8" x14ac:dyDescent="0.3">
      <c r="A533" s="11">
        <v>532</v>
      </c>
      <c r="B533" s="13">
        <v>40567</v>
      </c>
      <c r="C533" s="11">
        <v>1</v>
      </c>
      <c r="D533" s="11">
        <v>7</v>
      </c>
      <c r="E533" s="1" t="b">
        <v>0</v>
      </c>
      <c r="F533" s="11">
        <v>1</v>
      </c>
      <c r="G533" s="11">
        <v>1</v>
      </c>
      <c r="H533" s="10">
        <v>0.02</v>
      </c>
    </row>
    <row r="534" spans="1:8" x14ac:dyDescent="0.3">
      <c r="A534" s="11">
        <v>533</v>
      </c>
      <c r="B534" s="13">
        <v>40567</v>
      </c>
      <c r="C534" s="11">
        <v>1</v>
      </c>
      <c r="D534" s="11">
        <v>8</v>
      </c>
      <c r="E534" s="1" t="b">
        <v>0</v>
      </c>
      <c r="F534" s="11">
        <v>1</v>
      </c>
      <c r="G534" s="11">
        <v>1</v>
      </c>
      <c r="H534" s="10">
        <v>0.04</v>
      </c>
    </row>
    <row r="535" spans="1:8" x14ac:dyDescent="0.3">
      <c r="A535" s="11">
        <v>534</v>
      </c>
      <c r="B535" s="13">
        <v>40567</v>
      </c>
      <c r="C535" s="11">
        <v>1</v>
      </c>
      <c r="D535" s="11">
        <v>9</v>
      </c>
      <c r="E535" s="1" t="b">
        <v>0</v>
      </c>
      <c r="F535" s="11">
        <v>1</v>
      </c>
      <c r="G535" s="11">
        <v>1</v>
      </c>
      <c r="H535" s="10">
        <v>0.06</v>
      </c>
    </row>
    <row r="536" spans="1:8" x14ac:dyDescent="0.3">
      <c r="A536" s="11">
        <v>535</v>
      </c>
      <c r="B536" s="13">
        <v>40567</v>
      </c>
      <c r="C536" s="11">
        <v>1</v>
      </c>
      <c r="D536" s="11">
        <v>10</v>
      </c>
      <c r="E536" s="1" t="b">
        <v>0</v>
      </c>
      <c r="F536" s="11">
        <v>1</v>
      </c>
      <c r="G536" s="11">
        <v>1</v>
      </c>
      <c r="H536" s="10">
        <v>0.1</v>
      </c>
    </row>
    <row r="537" spans="1:8" x14ac:dyDescent="0.3">
      <c r="A537" s="11">
        <v>536</v>
      </c>
      <c r="B537" s="13">
        <v>40567</v>
      </c>
      <c r="C537" s="11">
        <v>1</v>
      </c>
      <c r="D537" s="11">
        <v>11</v>
      </c>
      <c r="E537" s="1" t="b">
        <v>0</v>
      </c>
      <c r="F537" s="11">
        <v>1</v>
      </c>
      <c r="G537" s="11">
        <v>1</v>
      </c>
      <c r="H537" s="10">
        <v>0.1</v>
      </c>
    </row>
    <row r="538" spans="1:8" x14ac:dyDescent="0.3">
      <c r="A538" s="11">
        <v>537</v>
      </c>
      <c r="B538" s="13">
        <v>40567</v>
      </c>
      <c r="C538" s="11">
        <v>1</v>
      </c>
      <c r="D538" s="11">
        <v>12</v>
      </c>
      <c r="E538" s="1" t="b">
        <v>0</v>
      </c>
      <c r="F538" s="11">
        <v>1</v>
      </c>
      <c r="G538" s="11">
        <v>2</v>
      </c>
      <c r="H538" s="10">
        <v>0.12</v>
      </c>
    </row>
    <row r="539" spans="1:8" x14ac:dyDescent="0.3">
      <c r="A539" s="11">
        <v>538</v>
      </c>
      <c r="B539" s="13">
        <v>40567</v>
      </c>
      <c r="C539" s="11">
        <v>1</v>
      </c>
      <c r="D539" s="11">
        <v>13</v>
      </c>
      <c r="E539" s="1" t="b">
        <v>0</v>
      </c>
      <c r="F539" s="11">
        <v>1</v>
      </c>
      <c r="G539" s="11">
        <v>2</v>
      </c>
      <c r="H539" s="10">
        <v>0.14000000000000001</v>
      </c>
    </row>
    <row r="540" spans="1:8" x14ac:dyDescent="0.3">
      <c r="A540" s="11">
        <v>539</v>
      </c>
      <c r="B540" s="13">
        <v>40567</v>
      </c>
      <c r="C540" s="11">
        <v>1</v>
      </c>
      <c r="D540" s="11">
        <v>14</v>
      </c>
      <c r="E540" s="1" t="b">
        <v>0</v>
      </c>
      <c r="F540" s="11">
        <v>1</v>
      </c>
      <c r="G540" s="11">
        <v>2</v>
      </c>
      <c r="H540" s="10">
        <v>0.14000000000000001</v>
      </c>
    </row>
    <row r="541" spans="1:8" x14ac:dyDescent="0.3">
      <c r="A541" s="11">
        <v>540</v>
      </c>
      <c r="B541" s="13">
        <v>40567</v>
      </c>
      <c r="C541" s="11">
        <v>1</v>
      </c>
      <c r="D541" s="11">
        <v>15</v>
      </c>
      <c r="E541" s="1" t="b">
        <v>0</v>
      </c>
      <c r="F541" s="11">
        <v>1</v>
      </c>
      <c r="G541" s="11">
        <v>1</v>
      </c>
      <c r="H541" s="10">
        <v>0.16</v>
      </c>
    </row>
    <row r="542" spans="1:8" x14ac:dyDescent="0.3">
      <c r="A542" s="11">
        <v>541</v>
      </c>
      <c r="B542" s="13">
        <v>40567</v>
      </c>
      <c r="C542" s="11">
        <v>1</v>
      </c>
      <c r="D542" s="11">
        <v>16</v>
      </c>
      <c r="E542" s="1" t="b">
        <v>0</v>
      </c>
      <c r="F542" s="11">
        <v>1</v>
      </c>
      <c r="G542" s="11">
        <v>1</v>
      </c>
      <c r="H542" s="10">
        <v>0.16</v>
      </c>
    </row>
    <row r="543" spans="1:8" x14ac:dyDescent="0.3">
      <c r="A543" s="11">
        <v>542</v>
      </c>
      <c r="B543" s="13">
        <v>40567</v>
      </c>
      <c r="C543" s="11">
        <v>1</v>
      </c>
      <c r="D543" s="11">
        <v>17</v>
      </c>
      <c r="E543" s="1" t="b">
        <v>0</v>
      </c>
      <c r="F543" s="11">
        <v>1</v>
      </c>
      <c r="G543" s="11">
        <v>1</v>
      </c>
      <c r="H543" s="10">
        <v>0.14000000000000001</v>
      </c>
    </row>
    <row r="544" spans="1:8" x14ac:dyDescent="0.3">
      <c r="A544" s="11">
        <v>543</v>
      </c>
      <c r="B544" s="13">
        <v>40567</v>
      </c>
      <c r="C544" s="11">
        <v>1</v>
      </c>
      <c r="D544" s="11">
        <v>18</v>
      </c>
      <c r="E544" s="1" t="b">
        <v>0</v>
      </c>
      <c r="F544" s="11">
        <v>1</v>
      </c>
      <c r="G544" s="11">
        <v>1</v>
      </c>
      <c r="H544" s="10">
        <v>0.14000000000000001</v>
      </c>
    </row>
    <row r="545" spans="1:8" x14ac:dyDescent="0.3">
      <c r="A545" s="11">
        <v>544</v>
      </c>
      <c r="B545" s="13">
        <v>40567</v>
      </c>
      <c r="C545" s="11">
        <v>1</v>
      </c>
      <c r="D545" s="11">
        <v>19</v>
      </c>
      <c r="E545" s="1" t="b">
        <v>0</v>
      </c>
      <c r="F545" s="11">
        <v>1</v>
      </c>
      <c r="G545" s="11">
        <v>1</v>
      </c>
      <c r="H545" s="10">
        <v>0.14000000000000001</v>
      </c>
    </row>
    <row r="546" spans="1:8" x14ac:dyDescent="0.3">
      <c r="A546" s="11">
        <v>545</v>
      </c>
      <c r="B546" s="13">
        <v>40567</v>
      </c>
      <c r="C546" s="11">
        <v>1</v>
      </c>
      <c r="D546" s="11">
        <v>20</v>
      </c>
      <c r="E546" s="1" t="b">
        <v>0</v>
      </c>
      <c r="F546" s="11">
        <v>1</v>
      </c>
      <c r="G546" s="11">
        <v>1</v>
      </c>
      <c r="H546" s="10">
        <v>0.14000000000000001</v>
      </c>
    </row>
    <row r="547" spans="1:8" x14ac:dyDescent="0.3">
      <c r="A547" s="11">
        <v>546</v>
      </c>
      <c r="B547" s="13">
        <v>40567</v>
      </c>
      <c r="C547" s="11">
        <v>1</v>
      </c>
      <c r="D547" s="11">
        <v>21</v>
      </c>
      <c r="E547" s="1" t="b">
        <v>0</v>
      </c>
      <c r="F547" s="11">
        <v>1</v>
      </c>
      <c r="G547" s="11">
        <v>1</v>
      </c>
      <c r="H547" s="10">
        <v>0.14000000000000001</v>
      </c>
    </row>
    <row r="548" spans="1:8" x14ac:dyDescent="0.3">
      <c r="A548" s="11">
        <v>547</v>
      </c>
      <c r="B548" s="13">
        <v>40567</v>
      </c>
      <c r="C548" s="11">
        <v>1</v>
      </c>
      <c r="D548" s="11">
        <v>22</v>
      </c>
      <c r="E548" s="1" t="b">
        <v>0</v>
      </c>
      <c r="F548" s="11">
        <v>1</v>
      </c>
      <c r="G548" s="11">
        <v>2</v>
      </c>
      <c r="H548" s="10">
        <v>0.14000000000000001</v>
      </c>
    </row>
    <row r="549" spans="1:8" x14ac:dyDescent="0.3">
      <c r="A549" s="11">
        <v>548</v>
      </c>
      <c r="B549" s="13">
        <v>40567</v>
      </c>
      <c r="C549" s="11">
        <v>1</v>
      </c>
      <c r="D549" s="11">
        <v>23</v>
      </c>
      <c r="E549" s="1" t="b">
        <v>0</v>
      </c>
      <c r="F549" s="11">
        <v>1</v>
      </c>
      <c r="G549" s="11">
        <v>2</v>
      </c>
      <c r="H549" s="10">
        <v>0.16</v>
      </c>
    </row>
    <row r="550" spans="1:8" x14ac:dyDescent="0.3">
      <c r="A550" s="11">
        <v>549</v>
      </c>
      <c r="B550" s="13">
        <v>40568</v>
      </c>
      <c r="C550" s="11">
        <v>1</v>
      </c>
      <c r="D550" s="11">
        <v>0</v>
      </c>
      <c r="E550" s="1" t="b">
        <v>0</v>
      </c>
      <c r="F550" s="11">
        <v>2</v>
      </c>
      <c r="G550" s="11">
        <v>2</v>
      </c>
      <c r="H550" s="10">
        <v>0.16</v>
      </c>
    </row>
    <row r="551" spans="1:8" x14ac:dyDescent="0.3">
      <c r="A551" s="11">
        <v>550</v>
      </c>
      <c r="B551" s="13">
        <v>40568</v>
      </c>
      <c r="C551" s="11">
        <v>1</v>
      </c>
      <c r="D551" s="11">
        <v>1</v>
      </c>
      <c r="E551" s="1" t="b">
        <v>0</v>
      </c>
      <c r="F551" s="11">
        <v>2</v>
      </c>
      <c r="G551" s="11">
        <v>2</v>
      </c>
      <c r="H551" s="10">
        <v>0.16</v>
      </c>
    </row>
    <row r="552" spans="1:8" x14ac:dyDescent="0.3">
      <c r="A552" s="11">
        <v>551</v>
      </c>
      <c r="B552" s="13">
        <v>40568</v>
      </c>
      <c r="C552" s="11">
        <v>1</v>
      </c>
      <c r="D552" s="11">
        <v>2</v>
      </c>
      <c r="E552" s="1" t="b">
        <v>0</v>
      </c>
      <c r="F552" s="11">
        <v>2</v>
      </c>
      <c r="G552" s="11">
        <v>1</v>
      </c>
      <c r="H552" s="10">
        <v>0.16</v>
      </c>
    </row>
    <row r="553" spans="1:8" x14ac:dyDescent="0.3">
      <c r="A553" s="11">
        <v>552</v>
      </c>
      <c r="B553" s="13">
        <v>40568</v>
      </c>
      <c r="C553" s="11">
        <v>1</v>
      </c>
      <c r="D553" s="11">
        <v>4</v>
      </c>
      <c r="E553" s="1" t="b">
        <v>0</v>
      </c>
      <c r="F553" s="11">
        <v>2</v>
      </c>
      <c r="G553" s="11">
        <v>1</v>
      </c>
      <c r="H553" s="10">
        <v>0.14000000000000001</v>
      </c>
    </row>
    <row r="554" spans="1:8" x14ac:dyDescent="0.3">
      <c r="A554" s="11">
        <v>553</v>
      </c>
      <c r="B554" s="13">
        <v>40568</v>
      </c>
      <c r="C554" s="11">
        <v>1</v>
      </c>
      <c r="D554" s="11">
        <v>5</v>
      </c>
      <c r="E554" s="1" t="b">
        <v>0</v>
      </c>
      <c r="F554" s="11">
        <v>2</v>
      </c>
      <c r="G554" s="11">
        <v>1</v>
      </c>
      <c r="H554" s="10">
        <v>0.14000000000000001</v>
      </c>
    </row>
    <row r="555" spans="1:8" x14ac:dyDescent="0.3">
      <c r="A555" s="11">
        <v>554</v>
      </c>
      <c r="B555" s="13">
        <v>40568</v>
      </c>
      <c r="C555" s="11">
        <v>1</v>
      </c>
      <c r="D555" s="11">
        <v>6</v>
      </c>
      <c r="E555" s="1" t="b">
        <v>0</v>
      </c>
      <c r="F555" s="11">
        <v>2</v>
      </c>
      <c r="G555" s="11">
        <v>1</v>
      </c>
      <c r="H555" s="10">
        <v>0.16</v>
      </c>
    </row>
    <row r="556" spans="1:8" x14ac:dyDescent="0.3">
      <c r="A556" s="11">
        <v>555</v>
      </c>
      <c r="B556" s="13">
        <v>40568</v>
      </c>
      <c r="C556" s="11">
        <v>1</v>
      </c>
      <c r="D556" s="11">
        <v>7</v>
      </c>
      <c r="E556" s="1" t="b">
        <v>0</v>
      </c>
      <c r="F556" s="11">
        <v>2</v>
      </c>
      <c r="G556" s="11">
        <v>1</v>
      </c>
      <c r="H556" s="10">
        <v>0.16</v>
      </c>
    </row>
    <row r="557" spans="1:8" x14ac:dyDescent="0.3">
      <c r="A557" s="11">
        <v>556</v>
      </c>
      <c r="B557" s="13">
        <v>40568</v>
      </c>
      <c r="C557" s="11">
        <v>1</v>
      </c>
      <c r="D557" s="11">
        <v>8</v>
      </c>
      <c r="E557" s="1" t="b">
        <v>0</v>
      </c>
      <c r="F557" s="11">
        <v>2</v>
      </c>
      <c r="G557" s="11">
        <v>2</v>
      </c>
      <c r="H557" s="10">
        <v>0.16</v>
      </c>
    </row>
    <row r="558" spans="1:8" x14ac:dyDescent="0.3">
      <c r="A558" s="11">
        <v>557</v>
      </c>
      <c r="B558" s="13">
        <v>40568</v>
      </c>
      <c r="C558" s="11">
        <v>1</v>
      </c>
      <c r="D558" s="11">
        <v>9</v>
      </c>
      <c r="E558" s="1" t="b">
        <v>0</v>
      </c>
      <c r="F558" s="11">
        <v>2</v>
      </c>
      <c r="G558" s="11">
        <v>2</v>
      </c>
      <c r="H558" s="10">
        <v>0.2</v>
      </c>
    </row>
    <row r="559" spans="1:8" x14ac:dyDescent="0.3">
      <c r="A559" s="11">
        <v>558</v>
      </c>
      <c r="B559" s="13">
        <v>40568</v>
      </c>
      <c r="C559" s="11">
        <v>1</v>
      </c>
      <c r="D559" s="11">
        <v>10</v>
      </c>
      <c r="E559" s="1" t="b">
        <v>0</v>
      </c>
      <c r="F559" s="11">
        <v>2</v>
      </c>
      <c r="G559" s="11">
        <v>2</v>
      </c>
      <c r="H559" s="10">
        <v>0.22</v>
      </c>
    </row>
    <row r="560" spans="1:8" x14ac:dyDescent="0.3">
      <c r="A560" s="11">
        <v>559</v>
      </c>
      <c r="B560" s="13">
        <v>40568</v>
      </c>
      <c r="C560" s="11">
        <v>1</v>
      </c>
      <c r="D560" s="11">
        <v>11</v>
      </c>
      <c r="E560" s="1" t="b">
        <v>0</v>
      </c>
      <c r="F560" s="11">
        <v>2</v>
      </c>
      <c r="G560" s="11">
        <v>2</v>
      </c>
      <c r="H560" s="10">
        <v>0.24</v>
      </c>
    </row>
    <row r="561" spans="1:8" x14ac:dyDescent="0.3">
      <c r="A561" s="11">
        <v>560</v>
      </c>
      <c r="B561" s="13">
        <v>40568</v>
      </c>
      <c r="C561" s="11">
        <v>1</v>
      </c>
      <c r="D561" s="11">
        <v>12</v>
      </c>
      <c r="E561" s="1" t="b">
        <v>0</v>
      </c>
      <c r="F561" s="11">
        <v>2</v>
      </c>
      <c r="G561" s="11">
        <v>2</v>
      </c>
      <c r="H561" s="10">
        <v>0.26</v>
      </c>
    </row>
    <row r="562" spans="1:8" x14ac:dyDescent="0.3">
      <c r="A562" s="11">
        <v>561</v>
      </c>
      <c r="B562" s="13">
        <v>40568</v>
      </c>
      <c r="C562" s="11">
        <v>1</v>
      </c>
      <c r="D562" s="11">
        <v>13</v>
      </c>
      <c r="E562" s="1" t="b">
        <v>0</v>
      </c>
      <c r="F562" s="11">
        <v>2</v>
      </c>
      <c r="G562" s="11">
        <v>2</v>
      </c>
      <c r="H562" s="10">
        <v>0.26</v>
      </c>
    </row>
    <row r="563" spans="1:8" x14ac:dyDescent="0.3">
      <c r="A563" s="11">
        <v>562</v>
      </c>
      <c r="B563" s="13">
        <v>40568</v>
      </c>
      <c r="C563" s="11">
        <v>1</v>
      </c>
      <c r="D563" s="11">
        <v>14</v>
      </c>
      <c r="E563" s="1" t="b">
        <v>0</v>
      </c>
      <c r="F563" s="11">
        <v>2</v>
      </c>
      <c r="G563" s="11">
        <v>2</v>
      </c>
      <c r="H563" s="10">
        <v>0.3</v>
      </c>
    </row>
    <row r="564" spans="1:8" x14ac:dyDescent="0.3">
      <c r="A564" s="11">
        <v>563</v>
      </c>
      <c r="B564" s="13">
        <v>40568</v>
      </c>
      <c r="C564" s="11">
        <v>1</v>
      </c>
      <c r="D564" s="11">
        <v>15</v>
      </c>
      <c r="E564" s="1" t="b">
        <v>0</v>
      </c>
      <c r="F564" s="11">
        <v>2</v>
      </c>
      <c r="G564" s="11">
        <v>2</v>
      </c>
      <c r="H564" s="10">
        <v>0.32</v>
      </c>
    </row>
    <row r="565" spans="1:8" x14ac:dyDescent="0.3">
      <c r="A565" s="11">
        <v>564</v>
      </c>
      <c r="B565" s="13">
        <v>40568</v>
      </c>
      <c r="C565" s="11">
        <v>1</v>
      </c>
      <c r="D565" s="11">
        <v>16</v>
      </c>
      <c r="E565" s="1" t="b">
        <v>0</v>
      </c>
      <c r="F565" s="11">
        <v>2</v>
      </c>
      <c r="G565" s="11">
        <v>2</v>
      </c>
      <c r="H565" s="10">
        <v>0.32</v>
      </c>
    </row>
    <row r="566" spans="1:8" x14ac:dyDescent="0.3">
      <c r="A566" s="11">
        <v>565</v>
      </c>
      <c r="B566" s="13">
        <v>40568</v>
      </c>
      <c r="C566" s="11">
        <v>1</v>
      </c>
      <c r="D566" s="11">
        <v>17</v>
      </c>
      <c r="E566" s="1" t="b">
        <v>0</v>
      </c>
      <c r="F566" s="11">
        <v>2</v>
      </c>
      <c r="G566" s="11">
        <v>1</v>
      </c>
      <c r="H566" s="10">
        <v>0.3</v>
      </c>
    </row>
    <row r="567" spans="1:8" x14ac:dyDescent="0.3">
      <c r="A567" s="11">
        <v>566</v>
      </c>
      <c r="B567" s="13">
        <v>40568</v>
      </c>
      <c r="C567" s="11">
        <v>1</v>
      </c>
      <c r="D567" s="11">
        <v>18</v>
      </c>
      <c r="E567" s="1" t="b">
        <v>0</v>
      </c>
      <c r="F567" s="11">
        <v>2</v>
      </c>
      <c r="G567" s="11">
        <v>2</v>
      </c>
      <c r="H567" s="10">
        <v>0.3</v>
      </c>
    </row>
    <row r="568" spans="1:8" x14ac:dyDescent="0.3">
      <c r="A568" s="11">
        <v>567</v>
      </c>
      <c r="B568" s="13">
        <v>40568</v>
      </c>
      <c r="C568" s="11">
        <v>1</v>
      </c>
      <c r="D568" s="11">
        <v>19</v>
      </c>
      <c r="E568" s="1" t="b">
        <v>0</v>
      </c>
      <c r="F568" s="11">
        <v>2</v>
      </c>
      <c r="G568" s="11">
        <v>2</v>
      </c>
      <c r="H568" s="10">
        <v>0.26</v>
      </c>
    </row>
    <row r="569" spans="1:8" x14ac:dyDescent="0.3">
      <c r="A569" s="11">
        <v>568</v>
      </c>
      <c r="B569" s="13">
        <v>40568</v>
      </c>
      <c r="C569" s="11">
        <v>1</v>
      </c>
      <c r="D569" s="11">
        <v>20</v>
      </c>
      <c r="E569" s="1" t="b">
        <v>0</v>
      </c>
      <c r="F569" s="11">
        <v>2</v>
      </c>
      <c r="G569" s="11">
        <v>1</v>
      </c>
      <c r="H569" s="10">
        <v>0.24</v>
      </c>
    </row>
    <row r="570" spans="1:8" x14ac:dyDescent="0.3">
      <c r="A570" s="11">
        <v>569</v>
      </c>
      <c r="B570" s="13">
        <v>40568</v>
      </c>
      <c r="C570" s="11">
        <v>1</v>
      </c>
      <c r="D570" s="11">
        <v>21</v>
      </c>
      <c r="E570" s="1" t="b">
        <v>0</v>
      </c>
      <c r="F570" s="11">
        <v>2</v>
      </c>
      <c r="G570" s="11">
        <v>1</v>
      </c>
      <c r="H570" s="10">
        <v>0.24</v>
      </c>
    </row>
    <row r="571" spans="1:8" x14ac:dyDescent="0.3">
      <c r="A571" s="11">
        <v>570</v>
      </c>
      <c r="B571" s="13">
        <v>40568</v>
      </c>
      <c r="C571" s="11">
        <v>1</v>
      </c>
      <c r="D571" s="11">
        <v>22</v>
      </c>
      <c r="E571" s="1" t="b">
        <v>0</v>
      </c>
      <c r="F571" s="11">
        <v>2</v>
      </c>
      <c r="G571" s="11">
        <v>1</v>
      </c>
      <c r="H571" s="10">
        <v>0.22</v>
      </c>
    </row>
    <row r="572" spans="1:8" x14ac:dyDescent="0.3">
      <c r="A572" s="11">
        <v>571</v>
      </c>
      <c r="B572" s="13">
        <v>40568</v>
      </c>
      <c r="C572" s="11">
        <v>1</v>
      </c>
      <c r="D572" s="11">
        <v>23</v>
      </c>
      <c r="E572" s="1" t="b">
        <v>0</v>
      </c>
      <c r="F572" s="11">
        <v>2</v>
      </c>
      <c r="G572" s="11">
        <v>2</v>
      </c>
      <c r="H572" s="10">
        <v>0.22</v>
      </c>
    </row>
    <row r="573" spans="1:8" x14ac:dyDescent="0.3">
      <c r="A573" s="11">
        <v>572</v>
      </c>
      <c r="B573" s="13">
        <v>40569</v>
      </c>
      <c r="C573" s="11">
        <v>1</v>
      </c>
      <c r="D573" s="11">
        <v>0</v>
      </c>
      <c r="E573" s="1" t="b">
        <v>0</v>
      </c>
      <c r="F573" s="11">
        <v>3</v>
      </c>
      <c r="G573" s="11">
        <v>2</v>
      </c>
      <c r="H573" s="10">
        <v>0.22</v>
      </c>
    </row>
    <row r="574" spans="1:8" x14ac:dyDescent="0.3">
      <c r="A574" s="11">
        <v>573</v>
      </c>
      <c r="B574" s="13">
        <v>40569</v>
      </c>
      <c r="C574" s="11">
        <v>1</v>
      </c>
      <c r="D574" s="11">
        <v>1</v>
      </c>
      <c r="E574" s="1" t="b">
        <v>0</v>
      </c>
      <c r="F574" s="11">
        <v>3</v>
      </c>
      <c r="G574" s="11">
        <v>2</v>
      </c>
      <c r="H574" s="10">
        <v>0.24</v>
      </c>
    </row>
    <row r="575" spans="1:8" x14ac:dyDescent="0.3">
      <c r="A575" s="11">
        <v>574</v>
      </c>
      <c r="B575" s="13">
        <v>40569</v>
      </c>
      <c r="C575" s="11">
        <v>1</v>
      </c>
      <c r="D575" s="11">
        <v>2</v>
      </c>
      <c r="E575" s="1" t="b">
        <v>0</v>
      </c>
      <c r="F575" s="11">
        <v>3</v>
      </c>
      <c r="G575" s="11">
        <v>3</v>
      </c>
      <c r="H575" s="10">
        <v>0.22</v>
      </c>
    </row>
    <row r="576" spans="1:8" x14ac:dyDescent="0.3">
      <c r="A576" s="11">
        <v>575</v>
      </c>
      <c r="B576" s="13">
        <v>40569</v>
      </c>
      <c r="C576" s="11">
        <v>1</v>
      </c>
      <c r="D576" s="11">
        <v>5</v>
      </c>
      <c r="E576" s="1" t="b">
        <v>0</v>
      </c>
      <c r="F576" s="11">
        <v>3</v>
      </c>
      <c r="G576" s="11">
        <v>3</v>
      </c>
      <c r="H576" s="10">
        <v>0.2</v>
      </c>
    </row>
    <row r="577" spans="1:8" x14ac:dyDescent="0.3">
      <c r="A577" s="11">
        <v>576</v>
      </c>
      <c r="B577" s="13">
        <v>40569</v>
      </c>
      <c r="C577" s="11">
        <v>1</v>
      </c>
      <c r="D577" s="11">
        <v>6</v>
      </c>
      <c r="E577" s="1" t="b">
        <v>0</v>
      </c>
      <c r="F577" s="11">
        <v>3</v>
      </c>
      <c r="G577" s="11">
        <v>3</v>
      </c>
      <c r="H577" s="10">
        <v>0.2</v>
      </c>
    </row>
    <row r="578" spans="1:8" x14ac:dyDescent="0.3">
      <c r="A578" s="11">
        <v>577</v>
      </c>
      <c r="B578" s="13">
        <v>40569</v>
      </c>
      <c r="C578" s="11">
        <v>1</v>
      </c>
      <c r="D578" s="11">
        <v>7</v>
      </c>
      <c r="E578" s="1" t="b">
        <v>0</v>
      </c>
      <c r="F578" s="11">
        <v>3</v>
      </c>
      <c r="G578" s="11">
        <v>3</v>
      </c>
      <c r="H578" s="10">
        <v>0.22</v>
      </c>
    </row>
    <row r="579" spans="1:8" x14ac:dyDescent="0.3">
      <c r="A579" s="11">
        <v>578</v>
      </c>
      <c r="B579" s="13">
        <v>40569</v>
      </c>
      <c r="C579" s="11">
        <v>1</v>
      </c>
      <c r="D579" s="11">
        <v>8</v>
      </c>
      <c r="E579" s="1" t="b">
        <v>0</v>
      </c>
      <c r="F579" s="11">
        <v>3</v>
      </c>
      <c r="G579" s="11">
        <v>3</v>
      </c>
      <c r="H579" s="10">
        <v>0.22</v>
      </c>
    </row>
    <row r="580" spans="1:8" x14ac:dyDescent="0.3">
      <c r="A580" s="11">
        <v>579</v>
      </c>
      <c r="B580" s="13">
        <v>40569</v>
      </c>
      <c r="C580" s="11">
        <v>1</v>
      </c>
      <c r="D580" s="11">
        <v>9</v>
      </c>
      <c r="E580" s="1" t="b">
        <v>0</v>
      </c>
      <c r="F580" s="11">
        <v>3</v>
      </c>
      <c r="G580" s="11">
        <v>3</v>
      </c>
      <c r="H580" s="10">
        <v>0.22</v>
      </c>
    </row>
    <row r="581" spans="1:8" x14ac:dyDescent="0.3">
      <c r="A581" s="11">
        <v>580</v>
      </c>
      <c r="B581" s="13">
        <v>40569</v>
      </c>
      <c r="C581" s="11">
        <v>1</v>
      </c>
      <c r="D581" s="11">
        <v>10</v>
      </c>
      <c r="E581" s="1" t="b">
        <v>0</v>
      </c>
      <c r="F581" s="11">
        <v>3</v>
      </c>
      <c r="G581" s="11">
        <v>3</v>
      </c>
      <c r="H581" s="10">
        <v>0.22</v>
      </c>
    </row>
    <row r="582" spans="1:8" x14ac:dyDescent="0.3">
      <c r="A582" s="11">
        <v>581</v>
      </c>
      <c r="B582" s="13">
        <v>40569</v>
      </c>
      <c r="C582" s="11">
        <v>1</v>
      </c>
      <c r="D582" s="11">
        <v>11</v>
      </c>
      <c r="E582" s="1" t="b">
        <v>0</v>
      </c>
      <c r="F582" s="11">
        <v>3</v>
      </c>
      <c r="G582" s="11">
        <v>3</v>
      </c>
      <c r="H582" s="10">
        <v>0.22</v>
      </c>
    </row>
    <row r="583" spans="1:8" x14ac:dyDescent="0.3">
      <c r="A583" s="11">
        <v>582</v>
      </c>
      <c r="B583" s="13">
        <v>40569</v>
      </c>
      <c r="C583" s="11">
        <v>1</v>
      </c>
      <c r="D583" s="11">
        <v>12</v>
      </c>
      <c r="E583" s="1" t="b">
        <v>0</v>
      </c>
      <c r="F583" s="11">
        <v>3</v>
      </c>
      <c r="G583" s="11">
        <v>3</v>
      </c>
      <c r="H583" s="10">
        <v>0.22</v>
      </c>
    </row>
    <row r="584" spans="1:8" x14ac:dyDescent="0.3">
      <c r="A584" s="11">
        <v>583</v>
      </c>
      <c r="B584" s="13">
        <v>40569</v>
      </c>
      <c r="C584" s="11">
        <v>1</v>
      </c>
      <c r="D584" s="11">
        <v>13</v>
      </c>
      <c r="E584" s="1" t="b">
        <v>0</v>
      </c>
      <c r="F584" s="11">
        <v>3</v>
      </c>
      <c r="G584" s="11">
        <v>3</v>
      </c>
      <c r="H584" s="10">
        <v>0.22</v>
      </c>
    </row>
    <row r="585" spans="1:8" x14ac:dyDescent="0.3">
      <c r="A585" s="11">
        <v>584</v>
      </c>
      <c r="B585" s="13">
        <v>40569</v>
      </c>
      <c r="C585" s="11">
        <v>1</v>
      </c>
      <c r="D585" s="11">
        <v>14</v>
      </c>
      <c r="E585" s="1" t="b">
        <v>0</v>
      </c>
      <c r="F585" s="11">
        <v>3</v>
      </c>
      <c r="G585" s="11">
        <v>3</v>
      </c>
      <c r="H585" s="10">
        <v>0.22</v>
      </c>
    </row>
    <row r="586" spans="1:8" x14ac:dyDescent="0.3">
      <c r="A586" s="11">
        <v>585</v>
      </c>
      <c r="B586" s="13">
        <v>40569</v>
      </c>
      <c r="C586" s="11">
        <v>1</v>
      </c>
      <c r="D586" s="11">
        <v>15</v>
      </c>
      <c r="E586" s="1" t="b">
        <v>0</v>
      </c>
      <c r="F586" s="11">
        <v>3</v>
      </c>
      <c r="G586" s="11">
        <v>3</v>
      </c>
      <c r="H586" s="10">
        <v>0.22</v>
      </c>
    </row>
    <row r="587" spans="1:8" x14ac:dyDescent="0.3">
      <c r="A587" s="11">
        <v>586</v>
      </c>
      <c r="B587" s="13">
        <v>40569</v>
      </c>
      <c r="C587" s="11">
        <v>1</v>
      </c>
      <c r="D587" s="11">
        <v>16</v>
      </c>
      <c r="E587" s="1" t="b">
        <v>0</v>
      </c>
      <c r="F587" s="11">
        <v>3</v>
      </c>
      <c r="G587" s="11">
        <v>4</v>
      </c>
      <c r="H587" s="10">
        <v>0.22</v>
      </c>
    </row>
    <row r="588" spans="1:8" x14ac:dyDescent="0.3">
      <c r="A588" s="11">
        <v>587</v>
      </c>
      <c r="B588" s="13">
        <v>40569</v>
      </c>
      <c r="C588" s="11">
        <v>1</v>
      </c>
      <c r="D588" s="11">
        <v>17</v>
      </c>
      <c r="E588" s="1" t="b">
        <v>0</v>
      </c>
      <c r="F588" s="11">
        <v>3</v>
      </c>
      <c r="G588" s="11">
        <v>3</v>
      </c>
      <c r="H588" s="10">
        <v>0.2</v>
      </c>
    </row>
    <row r="589" spans="1:8" x14ac:dyDescent="0.3">
      <c r="A589" s="11">
        <v>588</v>
      </c>
      <c r="B589" s="13">
        <v>40570</v>
      </c>
      <c r="C589" s="11">
        <v>1</v>
      </c>
      <c r="D589" s="11">
        <v>16</v>
      </c>
      <c r="E589" s="1" t="b">
        <v>0</v>
      </c>
      <c r="F589" s="11">
        <v>4</v>
      </c>
      <c r="G589" s="11">
        <v>1</v>
      </c>
      <c r="H589" s="10">
        <v>0.22</v>
      </c>
    </row>
    <row r="590" spans="1:8" x14ac:dyDescent="0.3">
      <c r="A590" s="11">
        <v>589</v>
      </c>
      <c r="B590" s="13">
        <v>40570</v>
      </c>
      <c r="C590" s="11">
        <v>1</v>
      </c>
      <c r="D590" s="11">
        <v>17</v>
      </c>
      <c r="E590" s="1" t="b">
        <v>0</v>
      </c>
      <c r="F590" s="11">
        <v>4</v>
      </c>
      <c r="G590" s="11">
        <v>1</v>
      </c>
      <c r="H590" s="10">
        <v>0.22</v>
      </c>
    </row>
    <row r="591" spans="1:8" x14ac:dyDescent="0.3">
      <c r="A591" s="11">
        <v>590</v>
      </c>
      <c r="B591" s="13">
        <v>40570</v>
      </c>
      <c r="C591" s="11">
        <v>1</v>
      </c>
      <c r="D591" s="11">
        <v>18</v>
      </c>
      <c r="E591" s="1" t="b">
        <v>0</v>
      </c>
      <c r="F591" s="11">
        <v>4</v>
      </c>
      <c r="G591" s="11">
        <v>1</v>
      </c>
      <c r="H591" s="10">
        <v>0.2</v>
      </c>
    </row>
    <row r="592" spans="1:8" x14ac:dyDescent="0.3">
      <c r="A592" s="11">
        <v>591</v>
      </c>
      <c r="B592" s="13">
        <v>40570</v>
      </c>
      <c r="C592" s="11">
        <v>1</v>
      </c>
      <c r="D592" s="11">
        <v>19</v>
      </c>
      <c r="E592" s="1" t="b">
        <v>0</v>
      </c>
      <c r="F592" s="11">
        <v>4</v>
      </c>
      <c r="G592" s="11">
        <v>1</v>
      </c>
      <c r="H592" s="10">
        <v>0.2</v>
      </c>
    </row>
    <row r="593" spans="1:8" x14ac:dyDescent="0.3">
      <c r="A593" s="11">
        <v>592</v>
      </c>
      <c r="B593" s="13">
        <v>40570</v>
      </c>
      <c r="C593" s="11">
        <v>1</v>
      </c>
      <c r="D593" s="11">
        <v>20</v>
      </c>
      <c r="E593" s="1" t="b">
        <v>0</v>
      </c>
      <c r="F593" s="11">
        <v>4</v>
      </c>
      <c r="G593" s="11">
        <v>1</v>
      </c>
      <c r="H593" s="10">
        <v>0.18</v>
      </c>
    </row>
    <row r="594" spans="1:8" x14ac:dyDescent="0.3">
      <c r="A594" s="11">
        <v>593</v>
      </c>
      <c r="B594" s="13">
        <v>40570</v>
      </c>
      <c r="C594" s="11">
        <v>1</v>
      </c>
      <c r="D594" s="11">
        <v>21</v>
      </c>
      <c r="E594" s="1" t="b">
        <v>0</v>
      </c>
      <c r="F594" s="11">
        <v>4</v>
      </c>
      <c r="G594" s="11">
        <v>1</v>
      </c>
      <c r="H594" s="10">
        <v>0.18</v>
      </c>
    </row>
    <row r="595" spans="1:8" x14ac:dyDescent="0.3">
      <c r="A595" s="11">
        <v>594</v>
      </c>
      <c r="B595" s="13">
        <v>40570</v>
      </c>
      <c r="C595" s="11">
        <v>1</v>
      </c>
      <c r="D595" s="11">
        <v>22</v>
      </c>
      <c r="E595" s="1" t="b">
        <v>0</v>
      </c>
      <c r="F595" s="11">
        <v>4</v>
      </c>
      <c r="G595" s="11">
        <v>1</v>
      </c>
      <c r="H595" s="10">
        <v>0.18</v>
      </c>
    </row>
    <row r="596" spans="1:8" x14ac:dyDescent="0.3">
      <c r="A596" s="11">
        <v>595</v>
      </c>
      <c r="B596" s="13">
        <v>40570</v>
      </c>
      <c r="C596" s="11">
        <v>1</v>
      </c>
      <c r="D596" s="11">
        <v>23</v>
      </c>
      <c r="E596" s="1" t="b">
        <v>0</v>
      </c>
      <c r="F596" s="11">
        <v>4</v>
      </c>
      <c r="G596" s="11">
        <v>1</v>
      </c>
      <c r="H596" s="10">
        <v>0.18</v>
      </c>
    </row>
    <row r="597" spans="1:8" x14ac:dyDescent="0.3">
      <c r="A597" s="11">
        <v>596</v>
      </c>
      <c r="B597" s="13">
        <v>40571</v>
      </c>
      <c r="C597" s="11">
        <v>1</v>
      </c>
      <c r="D597" s="11">
        <v>0</v>
      </c>
      <c r="E597" s="1" t="b">
        <v>0</v>
      </c>
      <c r="F597" s="11">
        <v>5</v>
      </c>
      <c r="G597" s="11">
        <v>2</v>
      </c>
      <c r="H597" s="10">
        <v>0.2</v>
      </c>
    </row>
    <row r="598" spans="1:8" x14ac:dyDescent="0.3">
      <c r="A598" s="11">
        <v>597</v>
      </c>
      <c r="B598" s="13">
        <v>40571</v>
      </c>
      <c r="C598" s="11">
        <v>1</v>
      </c>
      <c r="D598" s="11">
        <v>1</v>
      </c>
      <c r="E598" s="1" t="b">
        <v>0</v>
      </c>
      <c r="F598" s="11">
        <v>5</v>
      </c>
      <c r="G598" s="11">
        <v>2</v>
      </c>
      <c r="H598" s="10">
        <v>0.2</v>
      </c>
    </row>
    <row r="599" spans="1:8" x14ac:dyDescent="0.3">
      <c r="A599" s="11">
        <v>598</v>
      </c>
      <c r="B599" s="13">
        <v>40571</v>
      </c>
      <c r="C599" s="11">
        <v>1</v>
      </c>
      <c r="D599" s="11">
        <v>2</v>
      </c>
      <c r="E599" s="1" t="b">
        <v>0</v>
      </c>
      <c r="F599" s="11">
        <v>5</v>
      </c>
      <c r="G599" s="11">
        <v>2</v>
      </c>
      <c r="H599" s="10">
        <v>0.2</v>
      </c>
    </row>
    <row r="600" spans="1:8" x14ac:dyDescent="0.3">
      <c r="A600" s="11">
        <v>599</v>
      </c>
      <c r="B600" s="13">
        <v>40571</v>
      </c>
      <c r="C600" s="11">
        <v>1</v>
      </c>
      <c r="D600" s="11">
        <v>3</v>
      </c>
      <c r="E600" s="1" t="b">
        <v>0</v>
      </c>
      <c r="F600" s="11">
        <v>5</v>
      </c>
      <c r="G600" s="11">
        <v>2</v>
      </c>
      <c r="H600" s="10">
        <v>0.2</v>
      </c>
    </row>
    <row r="601" spans="1:8" x14ac:dyDescent="0.3">
      <c r="A601" s="11">
        <v>600</v>
      </c>
      <c r="B601" s="13">
        <v>40571</v>
      </c>
      <c r="C601" s="11">
        <v>1</v>
      </c>
      <c r="D601" s="11">
        <v>5</v>
      </c>
      <c r="E601" s="1" t="b">
        <v>0</v>
      </c>
      <c r="F601" s="11">
        <v>5</v>
      </c>
      <c r="G601" s="11">
        <v>2</v>
      </c>
      <c r="H601" s="10">
        <v>0.18</v>
      </c>
    </row>
    <row r="602" spans="1:8" x14ac:dyDescent="0.3">
      <c r="A602" s="11">
        <v>601</v>
      </c>
      <c r="B602" s="13">
        <v>40571</v>
      </c>
      <c r="C602" s="11">
        <v>1</v>
      </c>
      <c r="D602" s="11">
        <v>6</v>
      </c>
      <c r="E602" s="1" t="b">
        <v>0</v>
      </c>
      <c r="F602" s="11">
        <v>5</v>
      </c>
      <c r="G602" s="11">
        <v>2</v>
      </c>
      <c r="H602" s="10">
        <v>0.18</v>
      </c>
    </row>
    <row r="603" spans="1:8" x14ac:dyDescent="0.3">
      <c r="A603" s="11">
        <v>602</v>
      </c>
      <c r="B603" s="13">
        <v>40571</v>
      </c>
      <c r="C603" s="11">
        <v>1</v>
      </c>
      <c r="D603" s="11">
        <v>7</v>
      </c>
      <c r="E603" s="1" t="b">
        <v>0</v>
      </c>
      <c r="F603" s="11">
        <v>5</v>
      </c>
      <c r="G603" s="11">
        <v>2</v>
      </c>
      <c r="H603" s="10">
        <v>0.16</v>
      </c>
    </row>
    <row r="604" spans="1:8" x14ac:dyDescent="0.3">
      <c r="A604" s="11">
        <v>603</v>
      </c>
      <c r="B604" s="13">
        <v>40571</v>
      </c>
      <c r="C604" s="11">
        <v>1</v>
      </c>
      <c r="D604" s="11">
        <v>8</v>
      </c>
      <c r="E604" s="1" t="b">
        <v>0</v>
      </c>
      <c r="F604" s="11">
        <v>5</v>
      </c>
      <c r="G604" s="11">
        <v>2</v>
      </c>
      <c r="H604" s="10">
        <v>0.16</v>
      </c>
    </row>
    <row r="605" spans="1:8" x14ac:dyDescent="0.3">
      <c r="A605" s="11">
        <v>604</v>
      </c>
      <c r="B605" s="13">
        <v>40571</v>
      </c>
      <c r="C605" s="11">
        <v>1</v>
      </c>
      <c r="D605" s="11">
        <v>9</v>
      </c>
      <c r="E605" s="1" t="b">
        <v>0</v>
      </c>
      <c r="F605" s="11">
        <v>5</v>
      </c>
      <c r="G605" s="11">
        <v>3</v>
      </c>
      <c r="H605" s="10">
        <v>0.18</v>
      </c>
    </row>
    <row r="606" spans="1:8" x14ac:dyDescent="0.3">
      <c r="A606" s="11">
        <v>605</v>
      </c>
      <c r="B606" s="13">
        <v>40571</v>
      </c>
      <c r="C606" s="11">
        <v>1</v>
      </c>
      <c r="D606" s="11">
        <v>10</v>
      </c>
      <c r="E606" s="1" t="b">
        <v>0</v>
      </c>
      <c r="F606" s="11">
        <v>5</v>
      </c>
      <c r="G606" s="11">
        <v>3</v>
      </c>
      <c r="H606" s="10">
        <v>0.18</v>
      </c>
    </row>
    <row r="607" spans="1:8" x14ac:dyDescent="0.3">
      <c r="A607" s="11">
        <v>606</v>
      </c>
      <c r="B607" s="13">
        <v>40571</v>
      </c>
      <c r="C607" s="11">
        <v>1</v>
      </c>
      <c r="D607" s="11">
        <v>11</v>
      </c>
      <c r="E607" s="1" t="b">
        <v>0</v>
      </c>
      <c r="F607" s="11">
        <v>5</v>
      </c>
      <c r="G607" s="11">
        <v>3</v>
      </c>
      <c r="H607" s="10">
        <v>0.18</v>
      </c>
    </row>
    <row r="608" spans="1:8" x14ac:dyDescent="0.3">
      <c r="A608" s="11">
        <v>607</v>
      </c>
      <c r="B608" s="13">
        <v>40571</v>
      </c>
      <c r="C608" s="11">
        <v>1</v>
      </c>
      <c r="D608" s="11">
        <v>12</v>
      </c>
      <c r="E608" s="1" t="b">
        <v>0</v>
      </c>
      <c r="F608" s="11">
        <v>5</v>
      </c>
      <c r="G608" s="11">
        <v>3</v>
      </c>
      <c r="H608" s="10">
        <v>0.18</v>
      </c>
    </row>
    <row r="609" spans="1:8" x14ac:dyDescent="0.3">
      <c r="A609" s="11">
        <v>608</v>
      </c>
      <c r="B609" s="13">
        <v>40571</v>
      </c>
      <c r="C609" s="11">
        <v>1</v>
      </c>
      <c r="D609" s="11">
        <v>13</v>
      </c>
      <c r="E609" s="1" t="b">
        <v>0</v>
      </c>
      <c r="F609" s="11">
        <v>5</v>
      </c>
      <c r="G609" s="11">
        <v>3</v>
      </c>
      <c r="H609" s="10">
        <v>0.18</v>
      </c>
    </row>
    <row r="610" spans="1:8" x14ac:dyDescent="0.3">
      <c r="A610" s="11">
        <v>609</v>
      </c>
      <c r="B610" s="13">
        <v>40571</v>
      </c>
      <c r="C610" s="11">
        <v>1</v>
      </c>
      <c r="D610" s="11">
        <v>14</v>
      </c>
      <c r="E610" s="1" t="b">
        <v>0</v>
      </c>
      <c r="F610" s="11">
        <v>5</v>
      </c>
      <c r="G610" s="11">
        <v>3</v>
      </c>
      <c r="H610" s="10">
        <v>0.22</v>
      </c>
    </row>
    <row r="611" spans="1:8" x14ac:dyDescent="0.3">
      <c r="A611" s="11">
        <v>610</v>
      </c>
      <c r="B611" s="13">
        <v>40571</v>
      </c>
      <c r="C611" s="11">
        <v>1</v>
      </c>
      <c r="D611" s="11">
        <v>15</v>
      </c>
      <c r="E611" s="1" t="b">
        <v>0</v>
      </c>
      <c r="F611" s="11">
        <v>5</v>
      </c>
      <c r="G611" s="11">
        <v>2</v>
      </c>
      <c r="H611" s="10">
        <v>0.2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611"/>
  <sheetViews>
    <sheetView tabSelected="1" topLeftCell="A2" workbookViewId="0">
      <selection activeCell="H2" sqref="H2:H611"/>
    </sheetView>
  </sheetViews>
  <sheetFormatPr defaultRowHeight="14.4" x14ac:dyDescent="0.3"/>
  <cols>
    <col min="1" max="1" width="9" bestFit="1" customWidth="1"/>
    <col min="2" max="2" width="10.33203125" style="2" bestFit="1" customWidth="1"/>
    <col min="3" max="3" width="9" bestFit="1" customWidth="1"/>
    <col min="4" max="4" width="6.88671875" bestFit="1" customWidth="1"/>
    <col min="6" max="6" width="10.109375" customWidth="1"/>
    <col min="7" max="7" width="17.77734375" customWidth="1"/>
    <col min="8" max="8" width="13.109375" customWidth="1"/>
    <col min="9" max="9" width="22.44140625" bestFit="1" customWidth="1"/>
    <col min="10" max="10" width="13.77734375" customWidth="1"/>
    <col min="11" max="11" width="18.6640625" customWidth="1"/>
    <col min="12" max="12" width="20.6640625" bestFit="1" customWidth="1"/>
    <col min="13" max="13" width="16.109375" bestFit="1" customWidth="1"/>
  </cols>
  <sheetData>
    <row r="1" spans="1:12" x14ac:dyDescent="0.3">
      <c r="A1" t="s">
        <v>0</v>
      </c>
      <c r="B1" s="2" t="s">
        <v>1</v>
      </c>
      <c r="C1" t="s">
        <v>2</v>
      </c>
      <c r="D1" t="s">
        <v>3</v>
      </c>
      <c r="E1" t="s">
        <v>4</v>
      </c>
      <c r="F1" t="s">
        <v>5</v>
      </c>
      <c r="G1" t="s">
        <v>6</v>
      </c>
      <c r="H1" t="s">
        <v>7</v>
      </c>
      <c r="I1" t="s">
        <v>8</v>
      </c>
      <c r="J1" t="s">
        <v>9</v>
      </c>
      <c r="K1" t="s">
        <v>10</v>
      </c>
      <c r="L1" t="s">
        <v>11</v>
      </c>
    </row>
    <row r="2" spans="1:12" x14ac:dyDescent="0.3">
      <c r="A2" s="12">
        <v>1</v>
      </c>
      <c r="B2" s="2">
        <v>40544</v>
      </c>
      <c r="C2" s="12">
        <v>1</v>
      </c>
      <c r="D2" s="12">
        <v>0</v>
      </c>
      <c r="E2" t="b">
        <v>0</v>
      </c>
      <c r="F2" s="12">
        <v>6</v>
      </c>
      <c r="G2" s="12">
        <v>1</v>
      </c>
      <c r="H2" s="9">
        <v>0.24</v>
      </c>
      <c r="I2" t="s">
        <v>12</v>
      </c>
      <c r="J2" t="s">
        <v>13</v>
      </c>
      <c r="K2" t="s">
        <v>14</v>
      </c>
      <c r="L2" t="s">
        <v>15</v>
      </c>
    </row>
    <row r="3" spans="1:12" x14ac:dyDescent="0.3">
      <c r="A3" s="12">
        <v>2</v>
      </c>
      <c r="B3" s="2">
        <v>40544</v>
      </c>
      <c r="C3" s="12">
        <v>1</v>
      </c>
      <c r="D3" s="12">
        <v>1</v>
      </c>
      <c r="E3" t="b">
        <v>0</v>
      </c>
      <c r="F3" s="12">
        <v>6</v>
      </c>
      <c r="G3" s="12">
        <v>1</v>
      </c>
      <c r="H3" s="9">
        <v>0.22</v>
      </c>
      <c r="I3" t="s">
        <v>12</v>
      </c>
      <c r="J3" t="s">
        <v>13</v>
      </c>
      <c r="K3" t="s">
        <v>14</v>
      </c>
      <c r="L3" t="s">
        <v>15</v>
      </c>
    </row>
    <row r="4" spans="1:12" x14ac:dyDescent="0.3">
      <c r="A4" s="12">
        <v>3</v>
      </c>
      <c r="B4" s="2">
        <v>40544</v>
      </c>
      <c r="C4" s="12">
        <v>1</v>
      </c>
      <c r="D4" s="12">
        <v>2</v>
      </c>
      <c r="E4" t="b">
        <v>0</v>
      </c>
      <c r="F4" s="12">
        <v>6</v>
      </c>
      <c r="G4" s="12">
        <v>1</v>
      </c>
      <c r="H4" s="9">
        <v>0.22</v>
      </c>
      <c r="I4" t="s">
        <v>12</v>
      </c>
      <c r="J4" t="s">
        <v>13</v>
      </c>
      <c r="K4" t="s">
        <v>14</v>
      </c>
      <c r="L4" t="s">
        <v>15</v>
      </c>
    </row>
    <row r="5" spans="1:12" x14ac:dyDescent="0.3">
      <c r="A5" s="12">
        <v>4</v>
      </c>
      <c r="B5" s="2">
        <v>40544</v>
      </c>
      <c r="C5" s="12">
        <v>1</v>
      </c>
      <c r="D5" s="12">
        <v>3</v>
      </c>
      <c r="E5" t="b">
        <v>0</v>
      </c>
      <c r="F5" s="12">
        <v>6</v>
      </c>
      <c r="G5" s="12">
        <v>1</v>
      </c>
      <c r="H5" s="9">
        <v>0.24</v>
      </c>
      <c r="I5" t="s">
        <v>12</v>
      </c>
      <c r="J5" t="s">
        <v>13</v>
      </c>
      <c r="K5" t="s">
        <v>14</v>
      </c>
      <c r="L5" t="s">
        <v>15</v>
      </c>
    </row>
    <row r="6" spans="1:12" x14ac:dyDescent="0.3">
      <c r="A6" s="12">
        <v>5</v>
      </c>
      <c r="B6" s="2">
        <v>40544</v>
      </c>
      <c r="C6" s="12">
        <v>1</v>
      </c>
      <c r="D6" s="12">
        <v>4</v>
      </c>
      <c r="E6" t="b">
        <v>0</v>
      </c>
      <c r="F6" s="12">
        <v>6</v>
      </c>
      <c r="G6" s="12">
        <v>1</v>
      </c>
      <c r="H6" s="9">
        <v>0.24</v>
      </c>
      <c r="I6" t="s">
        <v>12</v>
      </c>
      <c r="J6" t="s">
        <v>13</v>
      </c>
      <c r="K6" t="s">
        <v>14</v>
      </c>
      <c r="L6" t="s">
        <v>15</v>
      </c>
    </row>
    <row r="7" spans="1:12" x14ac:dyDescent="0.3">
      <c r="A7" s="12">
        <v>6</v>
      </c>
      <c r="B7" s="2">
        <v>40544</v>
      </c>
      <c r="C7" s="12">
        <v>1</v>
      </c>
      <c r="D7" s="12">
        <v>5</v>
      </c>
      <c r="E7" t="b">
        <v>0</v>
      </c>
      <c r="F7" s="12">
        <v>6</v>
      </c>
      <c r="G7" s="12">
        <v>2</v>
      </c>
      <c r="H7" s="9">
        <v>0.24</v>
      </c>
      <c r="I7" t="s">
        <v>16</v>
      </c>
      <c r="J7" t="s">
        <v>13</v>
      </c>
      <c r="K7" t="s">
        <v>14</v>
      </c>
      <c r="L7" t="s">
        <v>15</v>
      </c>
    </row>
    <row r="8" spans="1:12" x14ac:dyDescent="0.3">
      <c r="A8" s="12">
        <v>7</v>
      </c>
      <c r="B8" s="2">
        <v>40544</v>
      </c>
      <c r="C8" s="12">
        <v>1</v>
      </c>
      <c r="D8" s="12">
        <v>6</v>
      </c>
      <c r="E8" t="b">
        <v>0</v>
      </c>
      <c r="F8" s="12">
        <v>6</v>
      </c>
      <c r="G8" s="12">
        <v>1</v>
      </c>
      <c r="H8" s="9">
        <v>0.22</v>
      </c>
      <c r="I8" t="s">
        <v>12</v>
      </c>
      <c r="J8" t="s">
        <v>17</v>
      </c>
      <c r="K8" t="s">
        <v>14</v>
      </c>
      <c r="L8" t="s">
        <v>15</v>
      </c>
    </row>
    <row r="9" spans="1:12" x14ac:dyDescent="0.3">
      <c r="A9" s="12">
        <v>8</v>
      </c>
      <c r="B9" s="2">
        <v>40544</v>
      </c>
      <c r="C9" s="12">
        <v>1</v>
      </c>
      <c r="D9" s="12">
        <v>7</v>
      </c>
      <c r="E9" t="b">
        <v>0</v>
      </c>
      <c r="F9" s="12">
        <v>6</v>
      </c>
      <c r="G9" s="12">
        <v>1</v>
      </c>
      <c r="H9" s="9">
        <v>0.2</v>
      </c>
      <c r="I9" t="s">
        <v>12</v>
      </c>
      <c r="J9" t="s">
        <v>17</v>
      </c>
      <c r="K9" t="s">
        <v>14</v>
      </c>
      <c r="L9" t="s">
        <v>15</v>
      </c>
    </row>
    <row r="10" spans="1:12" x14ac:dyDescent="0.3">
      <c r="A10" s="12">
        <v>9</v>
      </c>
      <c r="B10" s="2">
        <v>40544</v>
      </c>
      <c r="C10" s="12">
        <v>1</v>
      </c>
      <c r="D10" s="12">
        <v>8</v>
      </c>
      <c r="E10" t="b">
        <v>0</v>
      </c>
      <c r="F10" s="12">
        <v>6</v>
      </c>
      <c r="G10" s="12">
        <v>1</v>
      </c>
      <c r="H10" s="9">
        <v>0.24</v>
      </c>
      <c r="I10" t="s">
        <v>12</v>
      </c>
      <c r="J10" t="s">
        <v>17</v>
      </c>
      <c r="K10" t="s">
        <v>14</v>
      </c>
      <c r="L10" t="s">
        <v>15</v>
      </c>
    </row>
    <row r="11" spans="1:12" x14ac:dyDescent="0.3">
      <c r="A11" s="12">
        <v>10</v>
      </c>
      <c r="B11" s="2">
        <v>40544</v>
      </c>
      <c r="C11" s="12">
        <v>1</v>
      </c>
      <c r="D11" s="12">
        <v>9</v>
      </c>
      <c r="E11" t="b">
        <v>0</v>
      </c>
      <c r="F11" s="12">
        <v>6</v>
      </c>
      <c r="G11" s="12">
        <v>1</v>
      </c>
      <c r="H11" s="9">
        <v>0.32</v>
      </c>
      <c r="I11" t="s">
        <v>12</v>
      </c>
      <c r="J11" t="s">
        <v>17</v>
      </c>
      <c r="K11" t="s">
        <v>18</v>
      </c>
      <c r="L11" t="s">
        <v>15</v>
      </c>
    </row>
    <row r="12" spans="1:12" x14ac:dyDescent="0.3">
      <c r="A12" s="12">
        <v>11</v>
      </c>
      <c r="B12" s="2">
        <v>40544</v>
      </c>
      <c r="C12" s="12">
        <v>1</v>
      </c>
      <c r="D12" s="12">
        <v>10</v>
      </c>
      <c r="E12" t="b">
        <v>0</v>
      </c>
      <c r="F12" s="12">
        <v>6</v>
      </c>
      <c r="G12" s="12">
        <v>1</v>
      </c>
      <c r="H12" s="9">
        <v>0.38</v>
      </c>
      <c r="I12" t="s">
        <v>12</v>
      </c>
      <c r="J12" t="s">
        <v>17</v>
      </c>
      <c r="K12" t="s">
        <v>19</v>
      </c>
      <c r="L12" t="s">
        <v>15</v>
      </c>
    </row>
    <row r="13" spans="1:12" x14ac:dyDescent="0.3">
      <c r="A13" s="12">
        <v>12</v>
      </c>
      <c r="B13" s="2">
        <v>40544</v>
      </c>
      <c r="C13" s="12">
        <v>1</v>
      </c>
      <c r="D13" s="12">
        <v>11</v>
      </c>
      <c r="E13" t="b">
        <v>0</v>
      </c>
      <c r="F13" s="12">
        <v>6</v>
      </c>
      <c r="G13" s="12">
        <v>1</v>
      </c>
      <c r="H13" s="9">
        <v>0.36</v>
      </c>
      <c r="I13" t="s">
        <v>12</v>
      </c>
      <c r="J13" t="s">
        <v>17</v>
      </c>
      <c r="K13" t="s">
        <v>19</v>
      </c>
      <c r="L13" t="s">
        <v>15</v>
      </c>
    </row>
    <row r="14" spans="1:12" x14ac:dyDescent="0.3">
      <c r="A14" s="12">
        <v>13</v>
      </c>
      <c r="B14" s="2">
        <v>40544</v>
      </c>
      <c r="C14" s="12">
        <v>1</v>
      </c>
      <c r="D14" s="12">
        <v>12</v>
      </c>
      <c r="E14" t="b">
        <v>0</v>
      </c>
      <c r="F14" s="12">
        <v>6</v>
      </c>
      <c r="G14" s="12">
        <v>1</v>
      </c>
      <c r="H14" s="9">
        <v>0.42</v>
      </c>
      <c r="I14" t="s">
        <v>12</v>
      </c>
      <c r="J14" t="s">
        <v>20</v>
      </c>
      <c r="K14" t="s">
        <v>19</v>
      </c>
      <c r="L14" t="s">
        <v>15</v>
      </c>
    </row>
    <row r="15" spans="1:12" x14ac:dyDescent="0.3">
      <c r="A15" s="12">
        <v>14</v>
      </c>
      <c r="B15" s="2">
        <v>40544</v>
      </c>
      <c r="C15" s="12">
        <v>1</v>
      </c>
      <c r="D15" s="12">
        <v>13</v>
      </c>
      <c r="E15" t="b">
        <v>0</v>
      </c>
      <c r="F15" s="12">
        <v>6</v>
      </c>
      <c r="G15" s="12">
        <v>2</v>
      </c>
      <c r="H15" s="9">
        <v>0.46</v>
      </c>
      <c r="I15" t="s">
        <v>16</v>
      </c>
      <c r="J15" t="s">
        <v>20</v>
      </c>
      <c r="K15" t="s">
        <v>21</v>
      </c>
      <c r="L15" t="s">
        <v>15</v>
      </c>
    </row>
    <row r="16" spans="1:12" x14ac:dyDescent="0.3">
      <c r="A16" s="12">
        <v>15</v>
      </c>
      <c r="B16" s="2">
        <v>40544</v>
      </c>
      <c r="C16" s="12">
        <v>1</v>
      </c>
      <c r="D16" s="12">
        <v>14</v>
      </c>
      <c r="E16" t="b">
        <v>0</v>
      </c>
      <c r="F16" s="12">
        <v>6</v>
      </c>
      <c r="G16" s="12">
        <v>2</v>
      </c>
      <c r="H16" s="9">
        <v>0.46</v>
      </c>
      <c r="I16" t="s">
        <v>16</v>
      </c>
      <c r="J16" t="s">
        <v>20</v>
      </c>
      <c r="K16" t="s">
        <v>21</v>
      </c>
      <c r="L16" t="s">
        <v>15</v>
      </c>
    </row>
    <row r="17" spans="1:12" x14ac:dyDescent="0.3">
      <c r="A17" s="12">
        <v>16</v>
      </c>
      <c r="B17" s="2">
        <v>40544</v>
      </c>
      <c r="C17" s="12">
        <v>1</v>
      </c>
      <c r="D17" s="12">
        <v>15</v>
      </c>
      <c r="E17" t="b">
        <v>0</v>
      </c>
      <c r="F17" s="12">
        <v>6</v>
      </c>
      <c r="G17" s="12">
        <v>2</v>
      </c>
      <c r="H17" s="9">
        <v>0.44</v>
      </c>
      <c r="I17" t="s">
        <v>16</v>
      </c>
      <c r="J17" t="s">
        <v>20</v>
      </c>
      <c r="K17" t="s">
        <v>19</v>
      </c>
      <c r="L17" t="s">
        <v>15</v>
      </c>
    </row>
    <row r="18" spans="1:12" x14ac:dyDescent="0.3">
      <c r="A18" s="12">
        <v>17</v>
      </c>
      <c r="B18" s="2">
        <v>40544</v>
      </c>
      <c r="C18" s="12">
        <v>1</v>
      </c>
      <c r="D18" s="12">
        <v>16</v>
      </c>
      <c r="E18" t="b">
        <v>0</v>
      </c>
      <c r="F18" s="12">
        <v>6</v>
      </c>
      <c r="G18" s="12">
        <v>2</v>
      </c>
      <c r="H18" s="9">
        <v>0.42</v>
      </c>
      <c r="I18" t="s">
        <v>16</v>
      </c>
      <c r="J18" t="s">
        <v>20</v>
      </c>
      <c r="K18" t="s">
        <v>19</v>
      </c>
      <c r="L18" t="s">
        <v>15</v>
      </c>
    </row>
    <row r="19" spans="1:12" x14ac:dyDescent="0.3">
      <c r="A19" s="12">
        <v>18</v>
      </c>
      <c r="B19" s="2">
        <v>40544</v>
      </c>
      <c r="C19" s="12">
        <v>1</v>
      </c>
      <c r="D19" s="12">
        <v>17</v>
      </c>
      <c r="E19" t="b">
        <v>0</v>
      </c>
      <c r="F19" s="12">
        <v>6</v>
      </c>
      <c r="G19" s="12">
        <v>2</v>
      </c>
      <c r="H19" s="9">
        <v>0.44</v>
      </c>
      <c r="I19" t="s">
        <v>16</v>
      </c>
      <c r="J19" t="s">
        <v>22</v>
      </c>
      <c r="K19" t="s">
        <v>19</v>
      </c>
      <c r="L19" t="s">
        <v>15</v>
      </c>
    </row>
    <row r="20" spans="1:12" x14ac:dyDescent="0.3">
      <c r="A20" s="12">
        <v>19</v>
      </c>
      <c r="B20" s="2">
        <v>40544</v>
      </c>
      <c r="C20" s="12">
        <v>1</v>
      </c>
      <c r="D20" s="12">
        <v>18</v>
      </c>
      <c r="E20" t="b">
        <v>0</v>
      </c>
      <c r="F20" s="12">
        <v>6</v>
      </c>
      <c r="G20" s="12">
        <v>3</v>
      </c>
      <c r="H20" s="9">
        <v>0.42</v>
      </c>
      <c r="I20" t="s">
        <v>23</v>
      </c>
      <c r="J20" t="s">
        <v>22</v>
      </c>
      <c r="K20" t="s">
        <v>19</v>
      </c>
      <c r="L20" t="s">
        <v>15</v>
      </c>
    </row>
    <row r="21" spans="1:12" x14ac:dyDescent="0.3">
      <c r="A21" s="12">
        <v>20</v>
      </c>
      <c r="B21" s="2">
        <v>40544</v>
      </c>
      <c r="C21" s="12">
        <v>1</v>
      </c>
      <c r="D21" s="12">
        <v>19</v>
      </c>
      <c r="E21" t="b">
        <v>0</v>
      </c>
      <c r="F21" s="12">
        <v>6</v>
      </c>
      <c r="G21" s="12">
        <v>3</v>
      </c>
      <c r="H21" s="9">
        <v>0.42</v>
      </c>
      <c r="I21" t="s">
        <v>23</v>
      </c>
      <c r="J21" t="s">
        <v>22</v>
      </c>
      <c r="K21" t="s">
        <v>19</v>
      </c>
      <c r="L21" t="s">
        <v>15</v>
      </c>
    </row>
    <row r="22" spans="1:12" x14ac:dyDescent="0.3">
      <c r="A22" s="12">
        <v>21</v>
      </c>
      <c r="B22" s="2">
        <v>40544</v>
      </c>
      <c r="C22" s="12">
        <v>1</v>
      </c>
      <c r="D22" s="12">
        <v>20</v>
      </c>
      <c r="E22" t="b">
        <v>0</v>
      </c>
      <c r="F22" s="12">
        <v>6</v>
      </c>
      <c r="G22" s="12">
        <v>2</v>
      </c>
      <c r="H22" s="9">
        <v>0.4</v>
      </c>
      <c r="I22" t="s">
        <v>16</v>
      </c>
      <c r="J22" t="s">
        <v>22</v>
      </c>
      <c r="K22" t="s">
        <v>19</v>
      </c>
      <c r="L22" t="s">
        <v>15</v>
      </c>
    </row>
    <row r="23" spans="1:12" x14ac:dyDescent="0.3">
      <c r="A23" s="12">
        <v>22</v>
      </c>
      <c r="B23" s="2">
        <v>40544</v>
      </c>
      <c r="C23" s="12">
        <v>1</v>
      </c>
      <c r="D23" s="12">
        <v>21</v>
      </c>
      <c r="E23" t="b">
        <v>0</v>
      </c>
      <c r="F23" s="12">
        <v>6</v>
      </c>
      <c r="G23" s="12">
        <v>2</v>
      </c>
      <c r="H23" s="9">
        <v>0.4</v>
      </c>
      <c r="I23" t="s">
        <v>16</v>
      </c>
      <c r="J23" t="s">
        <v>13</v>
      </c>
      <c r="K23" t="s">
        <v>19</v>
      </c>
      <c r="L23" t="s">
        <v>15</v>
      </c>
    </row>
    <row r="24" spans="1:12" x14ac:dyDescent="0.3">
      <c r="A24" s="12">
        <v>23</v>
      </c>
      <c r="B24" s="2">
        <v>40544</v>
      </c>
      <c r="C24" s="12">
        <v>1</v>
      </c>
      <c r="D24" s="12">
        <v>22</v>
      </c>
      <c r="E24" t="b">
        <v>0</v>
      </c>
      <c r="F24" s="12">
        <v>6</v>
      </c>
      <c r="G24" s="12">
        <v>2</v>
      </c>
      <c r="H24" s="9">
        <v>0.4</v>
      </c>
      <c r="I24" t="s">
        <v>16</v>
      </c>
      <c r="J24" t="s">
        <v>13</v>
      </c>
      <c r="K24" t="s">
        <v>19</v>
      </c>
      <c r="L24" t="s">
        <v>15</v>
      </c>
    </row>
    <row r="25" spans="1:12" x14ac:dyDescent="0.3">
      <c r="A25" s="12">
        <v>24</v>
      </c>
      <c r="B25" s="2">
        <v>40544</v>
      </c>
      <c r="C25" s="12">
        <v>1</v>
      </c>
      <c r="D25" s="12">
        <v>23</v>
      </c>
      <c r="E25" t="b">
        <v>0</v>
      </c>
      <c r="F25" s="12">
        <v>6</v>
      </c>
      <c r="G25" s="12">
        <v>2</v>
      </c>
      <c r="H25" s="9">
        <v>0.46</v>
      </c>
      <c r="I25" t="s">
        <v>16</v>
      </c>
      <c r="J25" t="s">
        <v>13</v>
      </c>
      <c r="K25" t="s">
        <v>21</v>
      </c>
      <c r="L25" t="s">
        <v>15</v>
      </c>
    </row>
    <row r="26" spans="1:12" x14ac:dyDescent="0.3">
      <c r="A26" s="12">
        <v>25</v>
      </c>
      <c r="B26" s="2">
        <v>40545</v>
      </c>
      <c r="C26" s="12">
        <v>1</v>
      </c>
      <c r="D26" s="12">
        <v>0</v>
      </c>
      <c r="E26" t="b">
        <v>0</v>
      </c>
      <c r="F26" s="12">
        <v>0</v>
      </c>
      <c r="G26" s="12">
        <v>2</v>
      </c>
      <c r="H26" s="9">
        <v>0.46</v>
      </c>
      <c r="I26" t="s">
        <v>16</v>
      </c>
      <c r="J26" t="s">
        <v>13</v>
      </c>
      <c r="K26" t="s">
        <v>21</v>
      </c>
      <c r="L26" t="s">
        <v>15</v>
      </c>
    </row>
    <row r="27" spans="1:12" x14ac:dyDescent="0.3">
      <c r="A27" s="12">
        <v>26</v>
      </c>
      <c r="B27" s="2">
        <v>40545</v>
      </c>
      <c r="C27" s="12">
        <v>1</v>
      </c>
      <c r="D27" s="12">
        <v>1</v>
      </c>
      <c r="E27" t="b">
        <v>0</v>
      </c>
      <c r="F27" s="12">
        <v>0</v>
      </c>
      <c r="G27" s="12">
        <v>2</v>
      </c>
      <c r="H27" s="9">
        <v>0.44</v>
      </c>
      <c r="I27" t="s">
        <v>16</v>
      </c>
      <c r="J27" t="s">
        <v>13</v>
      </c>
      <c r="K27" t="s">
        <v>19</v>
      </c>
      <c r="L27" t="s">
        <v>15</v>
      </c>
    </row>
    <row r="28" spans="1:12" x14ac:dyDescent="0.3">
      <c r="A28" s="12">
        <v>27</v>
      </c>
      <c r="B28" s="2">
        <v>40545</v>
      </c>
      <c r="C28" s="12">
        <v>1</v>
      </c>
      <c r="D28" s="12">
        <v>2</v>
      </c>
      <c r="E28" t="b">
        <v>0</v>
      </c>
      <c r="F28" s="12">
        <v>0</v>
      </c>
      <c r="G28" s="12">
        <v>2</v>
      </c>
      <c r="H28" s="9">
        <v>0.42</v>
      </c>
      <c r="I28" t="s">
        <v>16</v>
      </c>
      <c r="J28" t="s">
        <v>13</v>
      </c>
      <c r="K28" t="s">
        <v>19</v>
      </c>
      <c r="L28" t="s">
        <v>15</v>
      </c>
    </row>
    <row r="29" spans="1:12" x14ac:dyDescent="0.3">
      <c r="A29" s="12">
        <v>28</v>
      </c>
      <c r="B29" s="2">
        <v>40545</v>
      </c>
      <c r="C29" s="12">
        <v>1</v>
      </c>
      <c r="D29" s="12">
        <v>3</v>
      </c>
      <c r="E29" t="b">
        <v>0</v>
      </c>
      <c r="F29" s="12">
        <v>0</v>
      </c>
      <c r="G29" s="12">
        <v>2</v>
      </c>
      <c r="H29" s="9">
        <v>0.46</v>
      </c>
      <c r="I29" t="s">
        <v>16</v>
      </c>
      <c r="J29" t="s">
        <v>13</v>
      </c>
      <c r="K29" t="s">
        <v>21</v>
      </c>
      <c r="L29" t="s">
        <v>15</v>
      </c>
    </row>
    <row r="30" spans="1:12" x14ac:dyDescent="0.3">
      <c r="A30" s="12">
        <v>29</v>
      </c>
      <c r="B30" s="2">
        <v>40545</v>
      </c>
      <c r="C30" s="12">
        <v>1</v>
      </c>
      <c r="D30" s="12">
        <v>4</v>
      </c>
      <c r="E30" t="b">
        <v>0</v>
      </c>
      <c r="F30" s="12">
        <v>0</v>
      </c>
      <c r="G30" s="12">
        <v>2</v>
      </c>
      <c r="H30" s="9">
        <v>0.46</v>
      </c>
      <c r="I30" t="s">
        <v>16</v>
      </c>
      <c r="J30" t="s">
        <v>13</v>
      </c>
      <c r="K30" t="s">
        <v>21</v>
      </c>
      <c r="L30" t="s">
        <v>15</v>
      </c>
    </row>
    <row r="31" spans="1:12" x14ac:dyDescent="0.3">
      <c r="A31" s="12">
        <v>30</v>
      </c>
      <c r="B31" s="2">
        <v>40545</v>
      </c>
      <c r="C31" s="12">
        <v>1</v>
      </c>
      <c r="D31" s="12">
        <v>6</v>
      </c>
      <c r="E31" t="b">
        <v>0</v>
      </c>
      <c r="F31" s="12">
        <v>0</v>
      </c>
      <c r="G31" s="12">
        <v>3</v>
      </c>
      <c r="H31" s="9">
        <v>0.42</v>
      </c>
      <c r="I31" t="s">
        <v>23</v>
      </c>
      <c r="J31" t="s">
        <v>17</v>
      </c>
      <c r="K31" t="s">
        <v>19</v>
      </c>
      <c r="L31" t="s">
        <v>15</v>
      </c>
    </row>
    <row r="32" spans="1:12" x14ac:dyDescent="0.3">
      <c r="A32" s="12">
        <v>31</v>
      </c>
      <c r="B32" s="2">
        <v>40545</v>
      </c>
      <c r="C32" s="12">
        <v>1</v>
      </c>
      <c r="D32" s="12">
        <v>7</v>
      </c>
      <c r="E32" t="b">
        <v>0</v>
      </c>
      <c r="F32" s="12">
        <v>0</v>
      </c>
      <c r="G32" s="12">
        <v>2</v>
      </c>
      <c r="H32" s="9">
        <v>0.4</v>
      </c>
      <c r="I32" t="s">
        <v>16</v>
      </c>
      <c r="J32" t="s">
        <v>17</v>
      </c>
      <c r="K32" t="s">
        <v>19</v>
      </c>
      <c r="L32" t="s">
        <v>15</v>
      </c>
    </row>
    <row r="33" spans="1:12" x14ac:dyDescent="0.3">
      <c r="A33" s="12">
        <v>32</v>
      </c>
      <c r="B33" s="2">
        <v>40545</v>
      </c>
      <c r="C33" s="12">
        <v>1</v>
      </c>
      <c r="D33" s="12">
        <v>8</v>
      </c>
      <c r="E33" t="b">
        <v>0</v>
      </c>
      <c r="F33" s="12">
        <v>0</v>
      </c>
      <c r="G33" s="12">
        <v>3</v>
      </c>
      <c r="H33" s="9">
        <v>0.4</v>
      </c>
      <c r="I33" t="s">
        <v>23</v>
      </c>
      <c r="J33" t="s">
        <v>17</v>
      </c>
      <c r="K33" t="s">
        <v>19</v>
      </c>
      <c r="L33" t="s">
        <v>15</v>
      </c>
    </row>
    <row r="34" spans="1:12" x14ac:dyDescent="0.3">
      <c r="A34" s="12">
        <v>33</v>
      </c>
      <c r="B34" s="2">
        <v>40545</v>
      </c>
      <c r="C34" s="12">
        <v>1</v>
      </c>
      <c r="D34" s="12">
        <v>9</v>
      </c>
      <c r="E34" t="b">
        <v>0</v>
      </c>
      <c r="F34" s="12">
        <v>0</v>
      </c>
      <c r="G34" s="12">
        <v>2</v>
      </c>
      <c r="H34" s="9">
        <v>0.38</v>
      </c>
      <c r="I34" t="s">
        <v>16</v>
      </c>
      <c r="J34" t="s">
        <v>17</v>
      </c>
      <c r="K34" t="s">
        <v>19</v>
      </c>
      <c r="L34" t="s">
        <v>15</v>
      </c>
    </row>
    <row r="35" spans="1:12" x14ac:dyDescent="0.3">
      <c r="A35" s="12">
        <v>34</v>
      </c>
      <c r="B35" s="2">
        <v>40545</v>
      </c>
      <c r="C35" s="12">
        <v>1</v>
      </c>
      <c r="D35" s="12">
        <v>10</v>
      </c>
      <c r="E35" t="b">
        <v>0</v>
      </c>
      <c r="F35" s="12">
        <v>0</v>
      </c>
      <c r="G35" s="12">
        <v>2</v>
      </c>
      <c r="H35" s="9">
        <v>0.36</v>
      </c>
      <c r="I35" t="s">
        <v>16</v>
      </c>
      <c r="J35" t="s">
        <v>17</v>
      </c>
      <c r="K35" t="s">
        <v>19</v>
      </c>
      <c r="L35" t="s">
        <v>15</v>
      </c>
    </row>
    <row r="36" spans="1:12" x14ac:dyDescent="0.3">
      <c r="A36" s="12">
        <v>35</v>
      </c>
      <c r="B36" s="2">
        <v>40545</v>
      </c>
      <c r="C36" s="12">
        <v>1</v>
      </c>
      <c r="D36" s="12">
        <v>11</v>
      </c>
      <c r="E36" t="b">
        <v>0</v>
      </c>
      <c r="F36" s="12">
        <v>0</v>
      </c>
      <c r="G36" s="12">
        <v>2</v>
      </c>
      <c r="H36" s="9">
        <v>0.36</v>
      </c>
      <c r="I36" t="s">
        <v>16</v>
      </c>
      <c r="J36" t="s">
        <v>17</v>
      </c>
      <c r="K36" t="s">
        <v>19</v>
      </c>
      <c r="L36" t="s">
        <v>15</v>
      </c>
    </row>
    <row r="37" spans="1:12" x14ac:dyDescent="0.3">
      <c r="A37" s="12">
        <v>36</v>
      </c>
      <c r="B37" s="2">
        <v>40545</v>
      </c>
      <c r="C37" s="12">
        <v>1</v>
      </c>
      <c r="D37" s="12">
        <v>12</v>
      </c>
      <c r="E37" t="b">
        <v>0</v>
      </c>
      <c r="F37" s="12">
        <v>0</v>
      </c>
      <c r="G37" s="12">
        <v>2</v>
      </c>
      <c r="H37" s="9">
        <v>0.36</v>
      </c>
      <c r="I37" t="s">
        <v>16</v>
      </c>
      <c r="J37" t="s">
        <v>20</v>
      </c>
      <c r="K37" t="s">
        <v>19</v>
      </c>
      <c r="L37" t="s">
        <v>15</v>
      </c>
    </row>
    <row r="38" spans="1:12" x14ac:dyDescent="0.3">
      <c r="A38" s="12">
        <v>37</v>
      </c>
      <c r="B38" s="2">
        <v>40545</v>
      </c>
      <c r="C38" s="12">
        <v>1</v>
      </c>
      <c r="D38" s="12">
        <v>13</v>
      </c>
      <c r="E38" t="b">
        <v>0</v>
      </c>
      <c r="F38" s="12">
        <v>0</v>
      </c>
      <c r="G38" s="12">
        <v>2</v>
      </c>
      <c r="H38" s="9">
        <v>0.36</v>
      </c>
      <c r="I38" t="s">
        <v>16</v>
      </c>
      <c r="J38" t="s">
        <v>20</v>
      </c>
      <c r="K38" t="s">
        <v>19</v>
      </c>
      <c r="L38" t="s">
        <v>15</v>
      </c>
    </row>
    <row r="39" spans="1:12" x14ac:dyDescent="0.3">
      <c r="A39" s="12">
        <v>38</v>
      </c>
      <c r="B39" s="2">
        <v>40545</v>
      </c>
      <c r="C39" s="12">
        <v>1</v>
      </c>
      <c r="D39" s="12">
        <v>14</v>
      </c>
      <c r="E39" t="b">
        <v>0</v>
      </c>
      <c r="F39" s="12">
        <v>0</v>
      </c>
      <c r="G39" s="12">
        <v>3</v>
      </c>
      <c r="H39" s="9">
        <v>0.36</v>
      </c>
      <c r="I39" t="s">
        <v>23</v>
      </c>
      <c r="J39" t="s">
        <v>20</v>
      </c>
      <c r="K39" t="s">
        <v>19</v>
      </c>
      <c r="L39" t="s">
        <v>15</v>
      </c>
    </row>
    <row r="40" spans="1:12" x14ac:dyDescent="0.3">
      <c r="A40" s="12">
        <v>39</v>
      </c>
      <c r="B40" s="2">
        <v>40545</v>
      </c>
      <c r="C40" s="12">
        <v>1</v>
      </c>
      <c r="D40" s="12">
        <v>15</v>
      </c>
      <c r="E40" t="b">
        <v>0</v>
      </c>
      <c r="F40" s="12">
        <v>0</v>
      </c>
      <c r="G40" s="12">
        <v>3</v>
      </c>
      <c r="H40" s="9">
        <v>0.34</v>
      </c>
      <c r="I40" t="s">
        <v>23</v>
      </c>
      <c r="J40" t="s">
        <v>20</v>
      </c>
      <c r="K40" t="s">
        <v>18</v>
      </c>
      <c r="L40" t="s">
        <v>15</v>
      </c>
    </row>
    <row r="41" spans="1:12" x14ac:dyDescent="0.3">
      <c r="A41" s="12">
        <v>40</v>
      </c>
      <c r="B41" s="2">
        <v>40545</v>
      </c>
      <c r="C41" s="12">
        <v>1</v>
      </c>
      <c r="D41" s="12">
        <v>16</v>
      </c>
      <c r="E41" t="b">
        <v>0</v>
      </c>
      <c r="F41" s="12">
        <v>0</v>
      </c>
      <c r="G41" s="12">
        <v>3</v>
      </c>
      <c r="H41" s="9">
        <v>0.34</v>
      </c>
      <c r="I41" t="s">
        <v>23</v>
      </c>
      <c r="J41" t="s">
        <v>20</v>
      </c>
      <c r="K41" t="s">
        <v>18</v>
      </c>
      <c r="L41" t="s">
        <v>15</v>
      </c>
    </row>
    <row r="42" spans="1:12" x14ac:dyDescent="0.3">
      <c r="A42" s="12">
        <v>41</v>
      </c>
      <c r="B42" s="2">
        <v>40545</v>
      </c>
      <c r="C42" s="12">
        <v>1</v>
      </c>
      <c r="D42" s="12">
        <v>17</v>
      </c>
      <c r="E42" t="b">
        <v>0</v>
      </c>
      <c r="F42" s="12">
        <v>0</v>
      </c>
      <c r="G42" s="12">
        <v>1</v>
      </c>
      <c r="H42" s="9">
        <v>0.34</v>
      </c>
      <c r="I42" t="s">
        <v>12</v>
      </c>
      <c r="J42" t="s">
        <v>22</v>
      </c>
      <c r="K42" t="s">
        <v>18</v>
      </c>
      <c r="L42" t="s">
        <v>15</v>
      </c>
    </row>
    <row r="43" spans="1:12" x14ac:dyDescent="0.3">
      <c r="A43" s="12">
        <v>42</v>
      </c>
      <c r="B43" s="2">
        <v>40545</v>
      </c>
      <c r="C43" s="12">
        <v>1</v>
      </c>
      <c r="D43" s="12">
        <v>18</v>
      </c>
      <c r="E43" t="b">
        <v>0</v>
      </c>
      <c r="F43" s="12">
        <v>0</v>
      </c>
      <c r="G43" s="12">
        <v>2</v>
      </c>
      <c r="H43" s="9">
        <v>0.36</v>
      </c>
      <c r="I43" t="s">
        <v>16</v>
      </c>
      <c r="J43" t="s">
        <v>22</v>
      </c>
      <c r="K43" t="s">
        <v>19</v>
      </c>
      <c r="L43" t="s">
        <v>15</v>
      </c>
    </row>
    <row r="44" spans="1:12" x14ac:dyDescent="0.3">
      <c r="A44" s="12">
        <v>43</v>
      </c>
      <c r="B44" s="2">
        <v>40545</v>
      </c>
      <c r="C44" s="12">
        <v>1</v>
      </c>
      <c r="D44" s="12">
        <v>19</v>
      </c>
      <c r="E44" t="b">
        <v>0</v>
      </c>
      <c r="F44" s="12">
        <v>0</v>
      </c>
      <c r="G44" s="12">
        <v>1</v>
      </c>
      <c r="H44" s="9">
        <v>0.32</v>
      </c>
      <c r="I44" t="s">
        <v>12</v>
      </c>
      <c r="J44" t="s">
        <v>22</v>
      </c>
      <c r="K44" t="s">
        <v>18</v>
      </c>
      <c r="L44" t="s">
        <v>15</v>
      </c>
    </row>
    <row r="45" spans="1:12" x14ac:dyDescent="0.3">
      <c r="A45" s="12">
        <v>44</v>
      </c>
      <c r="B45" s="2">
        <v>40545</v>
      </c>
      <c r="C45" s="12">
        <v>1</v>
      </c>
      <c r="D45" s="12">
        <v>20</v>
      </c>
      <c r="E45" t="b">
        <v>0</v>
      </c>
      <c r="F45" s="12">
        <v>0</v>
      </c>
      <c r="G45" s="12">
        <v>1</v>
      </c>
      <c r="H45" s="9">
        <v>0.3</v>
      </c>
      <c r="I45" t="s">
        <v>12</v>
      </c>
      <c r="J45" t="s">
        <v>22</v>
      </c>
      <c r="K45" t="s">
        <v>18</v>
      </c>
      <c r="L45" t="s">
        <v>15</v>
      </c>
    </row>
    <row r="46" spans="1:12" x14ac:dyDescent="0.3">
      <c r="A46" s="12">
        <v>45</v>
      </c>
      <c r="B46" s="2">
        <v>40545</v>
      </c>
      <c r="C46" s="12">
        <v>1</v>
      </c>
      <c r="D46" s="12">
        <v>21</v>
      </c>
      <c r="E46" t="b">
        <v>0</v>
      </c>
      <c r="F46" s="12">
        <v>0</v>
      </c>
      <c r="G46" s="12">
        <v>1</v>
      </c>
      <c r="H46" s="9">
        <v>0.26</v>
      </c>
      <c r="I46" t="s">
        <v>12</v>
      </c>
      <c r="J46" t="s">
        <v>13</v>
      </c>
      <c r="K46" t="s">
        <v>18</v>
      </c>
      <c r="L46" t="s">
        <v>15</v>
      </c>
    </row>
    <row r="47" spans="1:12" x14ac:dyDescent="0.3">
      <c r="A47" s="12">
        <v>46</v>
      </c>
      <c r="B47" s="2">
        <v>40545</v>
      </c>
      <c r="C47" s="12">
        <v>1</v>
      </c>
      <c r="D47" s="12">
        <v>22</v>
      </c>
      <c r="E47" t="b">
        <v>0</v>
      </c>
      <c r="F47" s="12">
        <v>0</v>
      </c>
      <c r="G47" s="12">
        <v>1</v>
      </c>
      <c r="H47" s="9">
        <v>0.24</v>
      </c>
      <c r="I47" t="s">
        <v>12</v>
      </c>
      <c r="J47" t="s">
        <v>13</v>
      </c>
      <c r="K47" t="s">
        <v>14</v>
      </c>
      <c r="L47" t="s">
        <v>15</v>
      </c>
    </row>
    <row r="48" spans="1:12" x14ac:dyDescent="0.3">
      <c r="A48" s="12">
        <v>47</v>
      </c>
      <c r="B48" s="2">
        <v>40545</v>
      </c>
      <c r="C48" s="12">
        <v>1</v>
      </c>
      <c r="D48" s="12">
        <v>23</v>
      </c>
      <c r="E48" t="b">
        <v>0</v>
      </c>
      <c r="F48" s="12">
        <v>0</v>
      </c>
      <c r="G48" s="12">
        <v>1</v>
      </c>
      <c r="H48" s="9">
        <v>0.22</v>
      </c>
      <c r="I48" t="s">
        <v>12</v>
      </c>
      <c r="J48" t="s">
        <v>13</v>
      </c>
      <c r="K48" t="s">
        <v>14</v>
      </c>
      <c r="L48" t="s">
        <v>15</v>
      </c>
    </row>
    <row r="49" spans="1:12" x14ac:dyDescent="0.3">
      <c r="A49" s="12">
        <v>48</v>
      </c>
      <c r="B49" s="2">
        <v>40546</v>
      </c>
      <c r="C49" s="12">
        <v>1</v>
      </c>
      <c r="D49" s="12">
        <v>0</v>
      </c>
      <c r="E49" t="b">
        <v>0</v>
      </c>
      <c r="F49" s="12">
        <v>1</v>
      </c>
      <c r="G49" s="12">
        <v>1</v>
      </c>
      <c r="H49" s="9">
        <v>0.22</v>
      </c>
      <c r="I49" t="s">
        <v>12</v>
      </c>
      <c r="J49" t="s">
        <v>13</v>
      </c>
      <c r="K49" t="s">
        <v>14</v>
      </c>
      <c r="L49" t="s">
        <v>24</v>
      </c>
    </row>
    <row r="50" spans="1:12" x14ac:dyDescent="0.3">
      <c r="A50" s="12">
        <v>49</v>
      </c>
      <c r="B50" s="2">
        <v>40546</v>
      </c>
      <c r="C50" s="12">
        <v>1</v>
      </c>
      <c r="D50" s="12">
        <v>1</v>
      </c>
      <c r="E50" t="b">
        <v>0</v>
      </c>
      <c r="F50" s="12">
        <v>1</v>
      </c>
      <c r="G50" s="12">
        <v>1</v>
      </c>
      <c r="H50" s="9">
        <v>0.2</v>
      </c>
      <c r="I50" t="s">
        <v>12</v>
      </c>
      <c r="J50" t="s">
        <v>13</v>
      </c>
      <c r="K50" t="s">
        <v>14</v>
      </c>
      <c r="L50" t="s">
        <v>24</v>
      </c>
    </row>
    <row r="51" spans="1:12" x14ac:dyDescent="0.3">
      <c r="A51" s="12">
        <v>50</v>
      </c>
      <c r="B51" s="2">
        <v>40546</v>
      </c>
      <c r="C51" s="12">
        <v>1</v>
      </c>
      <c r="D51" s="12">
        <v>4</v>
      </c>
      <c r="E51" t="b">
        <v>0</v>
      </c>
      <c r="F51" s="12">
        <v>1</v>
      </c>
      <c r="G51" s="12">
        <v>1</v>
      </c>
      <c r="H51" s="9">
        <v>0.16</v>
      </c>
      <c r="I51" t="s">
        <v>12</v>
      </c>
      <c r="J51" t="s">
        <v>13</v>
      </c>
      <c r="K51" t="s">
        <v>14</v>
      </c>
      <c r="L51" t="s">
        <v>24</v>
      </c>
    </row>
    <row r="52" spans="1:12" x14ac:dyDescent="0.3">
      <c r="A52" s="12">
        <v>51</v>
      </c>
      <c r="B52" s="2">
        <v>40546</v>
      </c>
      <c r="C52" s="12">
        <v>1</v>
      </c>
      <c r="D52" s="12">
        <v>5</v>
      </c>
      <c r="E52" t="b">
        <v>0</v>
      </c>
      <c r="F52" s="12">
        <v>1</v>
      </c>
      <c r="G52" s="12">
        <v>1</v>
      </c>
      <c r="H52" s="9">
        <v>0.16</v>
      </c>
      <c r="I52" t="s">
        <v>12</v>
      </c>
      <c r="J52" t="s">
        <v>13</v>
      </c>
      <c r="K52" t="s">
        <v>14</v>
      </c>
      <c r="L52" t="s">
        <v>24</v>
      </c>
    </row>
    <row r="53" spans="1:12" x14ac:dyDescent="0.3">
      <c r="A53" s="12">
        <v>52</v>
      </c>
      <c r="B53" s="2">
        <v>40546</v>
      </c>
      <c r="C53" s="12">
        <v>1</v>
      </c>
      <c r="D53" s="12">
        <v>6</v>
      </c>
      <c r="E53" t="b">
        <v>0</v>
      </c>
      <c r="F53" s="12">
        <v>1</v>
      </c>
      <c r="G53" s="12">
        <v>1</v>
      </c>
      <c r="H53" s="9">
        <v>0.14000000000000001</v>
      </c>
      <c r="I53" t="s">
        <v>12</v>
      </c>
      <c r="J53" t="s">
        <v>17</v>
      </c>
      <c r="K53" t="s">
        <v>25</v>
      </c>
      <c r="L53" t="s">
        <v>24</v>
      </c>
    </row>
    <row r="54" spans="1:12" x14ac:dyDescent="0.3">
      <c r="A54" s="12">
        <v>53</v>
      </c>
      <c r="B54" s="2">
        <v>40546</v>
      </c>
      <c r="C54" s="12">
        <v>1</v>
      </c>
      <c r="D54" s="12">
        <v>7</v>
      </c>
      <c r="E54" t="b">
        <v>0</v>
      </c>
      <c r="F54" s="12">
        <v>1</v>
      </c>
      <c r="G54" s="12">
        <v>1</v>
      </c>
      <c r="H54" s="9">
        <v>0.14000000000000001</v>
      </c>
      <c r="I54" t="s">
        <v>12</v>
      </c>
      <c r="J54" t="s">
        <v>17</v>
      </c>
      <c r="K54" t="s">
        <v>25</v>
      </c>
      <c r="L54" t="s">
        <v>24</v>
      </c>
    </row>
    <row r="55" spans="1:12" x14ac:dyDescent="0.3">
      <c r="A55" s="12">
        <v>54</v>
      </c>
      <c r="B55" s="2">
        <v>40546</v>
      </c>
      <c r="C55" s="12">
        <v>1</v>
      </c>
      <c r="D55" s="12">
        <v>8</v>
      </c>
      <c r="E55" t="b">
        <v>0</v>
      </c>
      <c r="F55" s="12">
        <v>1</v>
      </c>
      <c r="G55" s="12">
        <v>1</v>
      </c>
      <c r="H55" s="9">
        <v>0.14000000000000001</v>
      </c>
      <c r="I55" t="s">
        <v>12</v>
      </c>
      <c r="J55" t="s">
        <v>17</v>
      </c>
      <c r="K55" t="s">
        <v>25</v>
      </c>
      <c r="L55" t="s">
        <v>24</v>
      </c>
    </row>
    <row r="56" spans="1:12" x14ac:dyDescent="0.3">
      <c r="A56" s="12">
        <v>55</v>
      </c>
      <c r="B56" s="2">
        <v>40546</v>
      </c>
      <c r="C56" s="12">
        <v>1</v>
      </c>
      <c r="D56" s="12">
        <v>9</v>
      </c>
      <c r="E56" t="b">
        <v>0</v>
      </c>
      <c r="F56" s="12">
        <v>1</v>
      </c>
      <c r="G56" s="12">
        <v>1</v>
      </c>
      <c r="H56" s="9">
        <v>0.16</v>
      </c>
      <c r="I56" t="s">
        <v>12</v>
      </c>
      <c r="J56" t="s">
        <v>17</v>
      </c>
      <c r="K56" t="s">
        <v>14</v>
      </c>
      <c r="L56" t="s">
        <v>24</v>
      </c>
    </row>
    <row r="57" spans="1:12" x14ac:dyDescent="0.3">
      <c r="A57" s="12">
        <v>56</v>
      </c>
      <c r="B57" s="2">
        <v>40546</v>
      </c>
      <c r="C57" s="12">
        <v>1</v>
      </c>
      <c r="D57" s="12">
        <v>10</v>
      </c>
      <c r="E57" t="b">
        <v>0</v>
      </c>
      <c r="F57" s="12">
        <v>1</v>
      </c>
      <c r="G57" s="12">
        <v>1</v>
      </c>
      <c r="H57" s="9">
        <v>0.18</v>
      </c>
      <c r="I57" t="s">
        <v>12</v>
      </c>
      <c r="J57" t="s">
        <v>17</v>
      </c>
      <c r="K57" t="s">
        <v>14</v>
      </c>
      <c r="L57" t="s">
        <v>24</v>
      </c>
    </row>
    <row r="58" spans="1:12" x14ac:dyDescent="0.3">
      <c r="A58" s="12">
        <v>57</v>
      </c>
      <c r="B58" s="2">
        <v>40546</v>
      </c>
      <c r="C58" s="12">
        <v>1</v>
      </c>
      <c r="D58" s="12">
        <v>11</v>
      </c>
      <c r="E58" t="b">
        <v>0</v>
      </c>
      <c r="F58" s="12">
        <v>1</v>
      </c>
      <c r="G58" s="12">
        <v>1</v>
      </c>
      <c r="H58" s="9">
        <v>0.2</v>
      </c>
      <c r="I58" t="s">
        <v>12</v>
      </c>
      <c r="J58" t="s">
        <v>17</v>
      </c>
      <c r="K58" t="s">
        <v>14</v>
      </c>
      <c r="L58" t="s">
        <v>24</v>
      </c>
    </row>
    <row r="59" spans="1:12" x14ac:dyDescent="0.3">
      <c r="A59" s="12">
        <v>58</v>
      </c>
      <c r="B59" s="2">
        <v>40546</v>
      </c>
      <c r="C59" s="12">
        <v>1</v>
      </c>
      <c r="D59" s="12">
        <v>12</v>
      </c>
      <c r="E59" t="b">
        <v>0</v>
      </c>
      <c r="F59" s="12">
        <v>1</v>
      </c>
      <c r="G59" s="12">
        <v>1</v>
      </c>
      <c r="H59" s="9">
        <v>0.22</v>
      </c>
      <c r="I59" t="s">
        <v>12</v>
      </c>
      <c r="J59" t="s">
        <v>20</v>
      </c>
      <c r="K59" t="s">
        <v>14</v>
      </c>
      <c r="L59" t="s">
        <v>24</v>
      </c>
    </row>
    <row r="60" spans="1:12" x14ac:dyDescent="0.3">
      <c r="A60" s="12">
        <v>59</v>
      </c>
      <c r="B60" s="2">
        <v>40546</v>
      </c>
      <c r="C60" s="12">
        <v>1</v>
      </c>
      <c r="D60" s="12">
        <v>13</v>
      </c>
      <c r="E60" t="b">
        <v>0</v>
      </c>
      <c r="F60" s="12">
        <v>1</v>
      </c>
      <c r="G60" s="12">
        <v>1</v>
      </c>
      <c r="H60" s="9">
        <v>0.24</v>
      </c>
      <c r="I60" t="s">
        <v>12</v>
      </c>
      <c r="J60" t="s">
        <v>20</v>
      </c>
      <c r="K60" t="s">
        <v>14</v>
      </c>
      <c r="L60" t="s">
        <v>24</v>
      </c>
    </row>
    <row r="61" spans="1:12" x14ac:dyDescent="0.3">
      <c r="A61" s="12">
        <v>60</v>
      </c>
      <c r="B61" s="2">
        <v>40546</v>
      </c>
      <c r="C61" s="12">
        <v>1</v>
      </c>
      <c r="D61" s="12">
        <v>14</v>
      </c>
      <c r="E61" t="b">
        <v>0</v>
      </c>
      <c r="F61" s="12">
        <v>1</v>
      </c>
      <c r="G61" s="12">
        <v>1</v>
      </c>
      <c r="H61" s="9">
        <v>0.26</v>
      </c>
      <c r="I61" t="s">
        <v>12</v>
      </c>
      <c r="J61" t="s">
        <v>20</v>
      </c>
      <c r="K61" t="s">
        <v>18</v>
      </c>
      <c r="L61" t="s">
        <v>24</v>
      </c>
    </row>
    <row r="62" spans="1:12" x14ac:dyDescent="0.3">
      <c r="A62" s="12">
        <v>61</v>
      </c>
      <c r="B62" s="2">
        <v>40546</v>
      </c>
      <c r="C62" s="12">
        <v>1</v>
      </c>
      <c r="D62" s="12">
        <v>15</v>
      </c>
      <c r="E62" t="b">
        <v>0</v>
      </c>
      <c r="F62" s="12">
        <v>1</v>
      </c>
      <c r="G62" s="12">
        <v>1</v>
      </c>
      <c r="H62" s="9">
        <v>0.26</v>
      </c>
      <c r="I62" t="s">
        <v>12</v>
      </c>
      <c r="J62" t="s">
        <v>20</v>
      </c>
      <c r="K62" t="s">
        <v>18</v>
      </c>
      <c r="L62" t="s">
        <v>24</v>
      </c>
    </row>
    <row r="63" spans="1:12" x14ac:dyDescent="0.3">
      <c r="A63" s="12">
        <v>62</v>
      </c>
      <c r="B63" s="2">
        <v>40546</v>
      </c>
      <c r="C63" s="12">
        <v>1</v>
      </c>
      <c r="D63" s="12">
        <v>16</v>
      </c>
      <c r="E63" t="b">
        <v>0</v>
      </c>
      <c r="F63" s="12">
        <v>1</v>
      </c>
      <c r="G63" s="12">
        <v>1</v>
      </c>
      <c r="H63" s="9">
        <v>0.26</v>
      </c>
      <c r="I63" t="s">
        <v>12</v>
      </c>
      <c r="J63" t="s">
        <v>20</v>
      </c>
      <c r="K63" t="s">
        <v>18</v>
      </c>
      <c r="L63" t="s">
        <v>24</v>
      </c>
    </row>
    <row r="64" spans="1:12" x14ac:dyDescent="0.3">
      <c r="A64" s="12">
        <v>63</v>
      </c>
      <c r="B64" s="2">
        <v>40546</v>
      </c>
      <c r="C64" s="12">
        <v>1</v>
      </c>
      <c r="D64" s="12">
        <v>17</v>
      </c>
      <c r="E64" t="b">
        <v>0</v>
      </c>
      <c r="F64" s="12">
        <v>1</v>
      </c>
      <c r="G64" s="12">
        <v>1</v>
      </c>
      <c r="H64" s="9">
        <v>0.24</v>
      </c>
      <c r="I64" t="s">
        <v>12</v>
      </c>
      <c r="J64" t="s">
        <v>22</v>
      </c>
      <c r="K64" t="s">
        <v>14</v>
      </c>
      <c r="L64" t="s">
        <v>24</v>
      </c>
    </row>
    <row r="65" spans="1:12" x14ac:dyDescent="0.3">
      <c r="A65" s="12">
        <v>64</v>
      </c>
      <c r="B65" s="2">
        <v>40546</v>
      </c>
      <c r="C65" s="12">
        <v>1</v>
      </c>
      <c r="D65" s="12">
        <v>18</v>
      </c>
      <c r="E65" t="b">
        <v>0</v>
      </c>
      <c r="F65" s="12">
        <v>1</v>
      </c>
      <c r="G65" s="12">
        <v>1</v>
      </c>
      <c r="H65" s="9">
        <v>0.24</v>
      </c>
      <c r="I65" t="s">
        <v>12</v>
      </c>
      <c r="J65" t="s">
        <v>22</v>
      </c>
      <c r="K65" t="s">
        <v>14</v>
      </c>
      <c r="L65" t="s">
        <v>24</v>
      </c>
    </row>
    <row r="66" spans="1:12" x14ac:dyDescent="0.3">
      <c r="A66" s="12">
        <v>65</v>
      </c>
      <c r="B66" s="2">
        <v>40546</v>
      </c>
      <c r="C66" s="12">
        <v>1</v>
      </c>
      <c r="D66" s="12">
        <v>19</v>
      </c>
      <c r="E66" t="b">
        <v>0</v>
      </c>
      <c r="F66" s="12">
        <v>1</v>
      </c>
      <c r="G66" s="12">
        <v>1</v>
      </c>
      <c r="H66" s="9">
        <v>0.2</v>
      </c>
      <c r="I66" t="s">
        <v>12</v>
      </c>
      <c r="J66" t="s">
        <v>22</v>
      </c>
      <c r="K66" t="s">
        <v>14</v>
      </c>
      <c r="L66" t="s">
        <v>24</v>
      </c>
    </row>
    <row r="67" spans="1:12" x14ac:dyDescent="0.3">
      <c r="A67" s="12">
        <v>66</v>
      </c>
      <c r="B67" s="2">
        <v>40546</v>
      </c>
      <c r="C67" s="12">
        <v>1</v>
      </c>
      <c r="D67" s="12">
        <v>20</v>
      </c>
      <c r="E67" t="b">
        <v>0</v>
      </c>
      <c r="F67" s="12">
        <v>1</v>
      </c>
      <c r="G67" s="12">
        <v>1</v>
      </c>
      <c r="H67" s="9">
        <v>0.2</v>
      </c>
      <c r="I67" t="s">
        <v>12</v>
      </c>
      <c r="J67" t="s">
        <v>22</v>
      </c>
      <c r="K67" t="s">
        <v>14</v>
      </c>
      <c r="L67" t="s">
        <v>24</v>
      </c>
    </row>
    <row r="68" spans="1:12" x14ac:dyDescent="0.3">
      <c r="A68" s="12">
        <v>67</v>
      </c>
      <c r="B68" s="2">
        <v>40546</v>
      </c>
      <c r="C68" s="12">
        <v>1</v>
      </c>
      <c r="D68" s="12">
        <v>21</v>
      </c>
      <c r="E68" t="b">
        <v>0</v>
      </c>
      <c r="F68" s="12">
        <v>1</v>
      </c>
      <c r="G68" s="12">
        <v>1</v>
      </c>
      <c r="H68" s="9">
        <v>0.18</v>
      </c>
      <c r="I68" t="s">
        <v>12</v>
      </c>
      <c r="J68" t="s">
        <v>13</v>
      </c>
      <c r="K68" t="s">
        <v>14</v>
      </c>
      <c r="L68" t="s">
        <v>24</v>
      </c>
    </row>
    <row r="69" spans="1:12" x14ac:dyDescent="0.3">
      <c r="A69" s="12">
        <v>68</v>
      </c>
      <c r="B69" s="2">
        <v>40546</v>
      </c>
      <c r="C69" s="12">
        <v>1</v>
      </c>
      <c r="D69" s="12">
        <v>22</v>
      </c>
      <c r="E69" t="b">
        <v>0</v>
      </c>
      <c r="F69" s="12">
        <v>1</v>
      </c>
      <c r="G69" s="12">
        <v>1</v>
      </c>
      <c r="H69" s="9">
        <v>0.14000000000000001</v>
      </c>
      <c r="I69" t="s">
        <v>12</v>
      </c>
      <c r="J69" t="s">
        <v>13</v>
      </c>
      <c r="K69" t="s">
        <v>25</v>
      </c>
      <c r="L69" t="s">
        <v>24</v>
      </c>
    </row>
    <row r="70" spans="1:12" x14ac:dyDescent="0.3">
      <c r="A70" s="12">
        <v>69</v>
      </c>
      <c r="B70" s="2">
        <v>40546</v>
      </c>
      <c r="C70" s="12">
        <v>1</v>
      </c>
      <c r="D70" s="12">
        <v>23</v>
      </c>
      <c r="E70" t="b">
        <v>0</v>
      </c>
      <c r="F70" s="12">
        <v>1</v>
      </c>
      <c r="G70" s="12">
        <v>1</v>
      </c>
      <c r="H70" s="9">
        <v>0.18</v>
      </c>
      <c r="I70" t="s">
        <v>12</v>
      </c>
      <c r="J70" t="s">
        <v>13</v>
      </c>
      <c r="K70" t="s">
        <v>14</v>
      </c>
      <c r="L70" t="s">
        <v>24</v>
      </c>
    </row>
    <row r="71" spans="1:12" x14ac:dyDescent="0.3">
      <c r="A71" s="12">
        <v>70</v>
      </c>
      <c r="B71" s="2">
        <v>40547</v>
      </c>
      <c r="C71" s="12">
        <v>1</v>
      </c>
      <c r="D71" s="12">
        <v>0</v>
      </c>
      <c r="E71" t="b">
        <v>0</v>
      </c>
      <c r="F71" s="12">
        <v>2</v>
      </c>
      <c r="G71" s="12">
        <v>1</v>
      </c>
      <c r="H71" s="9">
        <v>0.16</v>
      </c>
      <c r="I71" t="s">
        <v>12</v>
      </c>
      <c r="J71" t="s">
        <v>13</v>
      </c>
      <c r="K71" t="s">
        <v>14</v>
      </c>
      <c r="L71" t="s">
        <v>24</v>
      </c>
    </row>
    <row r="72" spans="1:12" x14ac:dyDescent="0.3">
      <c r="A72" s="12">
        <v>71</v>
      </c>
      <c r="B72" s="2">
        <v>40547</v>
      </c>
      <c r="C72" s="12">
        <v>1</v>
      </c>
      <c r="D72" s="12">
        <v>1</v>
      </c>
      <c r="E72" t="b">
        <v>0</v>
      </c>
      <c r="F72" s="12">
        <v>2</v>
      </c>
      <c r="G72" s="12">
        <v>1</v>
      </c>
      <c r="H72" s="9">
        <v>0.16</v>
      </c>
      <c r="I72" t="s">
        <v>12</v>
      </c>
      <c r="J72" t="s">
        <v>13</v>
      </c>
      <c r="K72" t="s">
        <v>14</v>
      </c>
      <c r="L72" t="s">
        <v>24</v>
      </c>
    </row>
    <row r="73" spans="1:12" x14ac:dyDescent="0.3">
      <c r="A73" s="12">
        <v>72</v>
      </c>
      <c r="B73" s="2">
        <v>40547</v>
      </c>
      <c r="C73" s="12">
        <v>1</v>
      </c>
      <c r="D73" s="12">
        <v>2</v>
      </c>
      <c r="E73" t="b">
        <v>0</v>
      </c>
      <c r="F73" s="12">
        <v>2</v>
      </c>
      <c r="G73" s="12">
        <v>1</v>
      </c>
      <c r="H73" s="9">
        <v>0.14000000000000001</v>
      </c>
      <c r="I73" t="s">
        <v>12</v>
      </c>
      <c r="J73" t="s">
        <v>13</v>
      </c>
      <c r="K73" t="s">
        <v>25</v>
      </c>
      <c r="L73" t="s">
        <v>24</v>
      </c>
    </row>
    <row r="74" spans="1:12" x14ac:dyDescent="0.3">
      <c r="A74" s="12">
        <v>73</v>
      </c>
      <c r="B74" s="2">
        <v>40547</v>
      </c>
      <c r="C74" s="12">
        <v>1</v>
      </c>
      <c r="D74" s="12">
        <v>4</v>
      </c>
      <c r="E74" t="b">
        <v>0</v>
      </c>
      <c r="F74" s="12">
        <v>2</v>
      </c>
      <c r="G74" s="12">
        <v>1</v>
      </c>
      <c r="H74" s="9">
        <v>0.14000000000000001</v>
      </c>
      <c r="I74" t="s">
        <v>12</v>
      </c>
      <c r="J74" t="s">
        <v>13</v>
      </c>
      <c r="K74" t="s">
        <v>25</v>
      </c>
      <c r="L74" t="s">
        <v>24</v>
      </c>
    </row>
    <row r="75" spans="1:12" x14ac:dyDescent="0.3">
      <c r="A75" s="12">
        <v>74</v>
      </c>
      <c r="B75" s="2">
        <v>40547</v>
      </c>
      <c r="C75" s="12">
        <v>1</v>
      </c>
      <c r="D75" s="12">
        <v>5</v>
      </c>
      <c r="E75" t="b">
        <v>0</v>
      </c>
      <c r="F75" s="12">
        <v>2</v>
      </c>
      <c r="G75" s="12">
        <v>1</v>
      </c>
      <c r="H75" s="9">
        <v>0.12</v>
      </c>
      <c r="I75" t="s">
        <v>12</v>
      </c>
      <c r="J75" t="s">
        <v>13</v>
      </c>
      <c r="K75" t="s">
        <v>25</v>
      </c>
      <c r="L75" t="s">
        <v>24</v>
      </c>
    </row>
    <row r="76" spans="1:12" x14ac:dyDescent="0.3">
      <c r="A76" s="12">
        <v>75</v>
      </c>
      <c r="B76" s="2">
        <v>40547</v>
      </c>
      <c r="C76" s="12">
        <v>1</v>
      </c>
      <c r="D76" s="12">
        <v>6</v>
      </c>
      <c r="E76" t="b">
        <v>0</v>
      </c>
      <c r="F76" s="12">
        <v>2</v>
      </c>
      <c r="G76" s="12">
        <v>1</v>
      </c>
      <c r="H76" s="9">
        <v>0.12</v>
      </c>
      <c r="I76" t="s">
        <v>12</v>
      </c>
      <c r="J76" t="s">
        <v>17</v>
      </c>
      <c r="K76" t="s">
        <v>25</v>
      </c>
      <c r="L76" t="s">
        <v>24</v>
      </c>
    </row>
    <row r="77" spans="1:12" x14ac:dyDescent="0.3">
      <c r="A77" s="12">
        <v>76</v>
      </c>
      <c r="B77" s="2">
        <v>40547</v>
      </c>
      <c r="C77" s="12">
        <v>1</v>
      </c>
      <c r="D77" s="12">
        <v>7</v>
      </c>
      <c r="E77" t="b">
        <v>0</v>
      </c>
      <c r="F77" s="12">
        <v>2</v>
      </c>
      <c r="G77" s="12">
        <v>1</v>
      </c>
      <c r="H77" s="9">
        <v>0.12</v>
      </c>
      <c r="I77" t="s">
        <v>12</v>
      </c>
      <c r="J77" t="s">
        <v>17</v>
      </c>
      <c r="K77" t="s">
        <v>25</v>
      </c>
      <c r="L77" t="s">
        <v>24</v>
      </c>
    </row>
    <row r="78" spans="1:12" x14ac:dyDescent="0.3">
      <c r="A78" s="12">
        <v>77</v>
      </c>
      <c r="B78" s="2">
        <v>40547</v>
      </c>
      <c r="C78" s="12">
        <v>1</v>
      </c>
      <c r="D78" s="12">
        <v>8</v>
      </c>
      <c r="E78" t="b">
        <v>0</v>
      </c>
      <c r="F78" s="12">
        <v>2</v>
      </c>
      <c r="G78" s="12">
        <v>1</v>
      </c>
      <c r="H78" s="9">
        <v>0.14000000000000001</v>
      </c>
      <c r="I78" t="s">
        <v>12</v>
      </c>
      <c r="J78" t="s">
        <v>17</v>
      </c>
      <c r="K78" t="s">
        <v>25</v>
      </c>
      <c r="L78" t="s">
        <v>24</v>
      </c>
    </row>
    <row r="79" spans="1:12" x14ac:dyDescent="0.3">
      <c r="A79" s="12">
        <v>78</v>
      </c>
      <c r="B79" s="2">
        <v>40547</v>
      </c>
      <c r="C79" s="12">
        <v>1</v>
      </c>
      <c r="D79" s="12">
        <v>9</v>
      </c>
      <c r="E79" t="b">
        <v>0</v>
      </c>
      <c r="F79" s="12">
        <v>2</v>
      </c>
      <c r="G79" s="12">
        <v>1</v>
      </c>
      <c r="H79" s="9">
        <v>0.16</v>
      </c>
      <c r="I79" t="s">
        <v>12</v>
      </c>
      <c r="J79" t="s">
        <v>17</v>
      </c>
      <c r="K79" t="s">
        <v>14</v>
      </c>
      <c r="L79" t="s">
        <v>24</v>
      </c>
    </row>
    <row r="80" spans="1:12" x14ac:dyDescent="0.3">
      <c r="A80" s="12">
        <v>79</v>
      </c>
      <c r="B80" s="2">
        <v>40547</v>
      </c>
      <c r="C80" s="12">
        <v>1</v>
      </c>
      <c r="D80" s="12">
        <v>10</v>
      </c>
      <c r="E80" t="b">
        <v>0</v>
      </c>
      <c r="F80" s="12">
        <v>2</v>
      </c>
      <c r="G80" s="12">
        <v>2</v>
      </c>
      <c r="H80" s="9">
        <v>0.16</v>
      </c>
      <c r="I80" t="s">
        <v>16</v>
      </c>
      <c r="J80" t="s">
        <v>17</v>
      </c>
      <c r="K80" t="s">
        <v>14</v>
      </c>
      <c r="L80" t="s">
        <v>24</v>
      </c>
    </row>
    <row r="81" spans="1:12" x14ac:dyDescent="0.3">
      <c r="A81" s="12">
        <v>80</v>
      </c>
      <c r="B81" s="2">
        <v>40547</v>
      </c>
      <c r="C81" s="12">
        <v>1</v>
      </c>
      <c r="D81" s="12">
        <v>11</v>
      </c>
      <c r="E81" t="b">
        <v>0</v>
      </c>
      <c r="F81" s="12">
        <v>2</v>
      </c>
      <c r="G81" s="12">
        <v>1</v>
      </c>
      <c r="H81" s="9">
        <v>0.22</v>
      </c>
      <c r="I81" t="s">
        <v>12</v>
      </c>
      <c r="J81" t="s">
        <v>17</v>
      </c>
      <c r="K81" t="s">
        <v>14</v>
      </c>
      <c r="L81" t="s">
        <v>24</v>
      </c>
    </row>
    <row r="82" spans="1:12" x14ac:dyDescent="0.3">
      <c r="A82" s="12">
        <v>81</v>
      </c>
      <c r="B82" s="2">
        <v>40547</v>
      </c>
      <c r="C82" s="12">
        <v>1</v>
      </c>
      <c r="D82" s="12">
        <v>12</v>
      </c>
      <c r="E82" t="b">
        <v>0</v>
      </c>
      <c r="F82" s="12">
        <v>2</v>
      </c>
      <c r="G82" s="12">
        <v>1</v>
      </c>
      <c r="H82" s="9">
        <v>0.22</v>
      </c>
      <c r="I82" t="s">
        <v>12</v>
      </c>
      <c r="J82" t="s">
        <v>20</v>
      </c>
      <c r="K82" t="s">
        <v>14</v>
      </c>
      <c r="L82" t="s">
        <v>24</v>
      </c>
    </row>
    <row r="83" spans="1:12" x14ac:dyDescent="0.3">
      <c r="A83" s="12">
        <v>82</v>
      </c>
      <c r="B83" s="2">
        <v>40547</v>
      </c>
      <c r="C83" s="12">
        <v>1</v>
      </c>
      <c r="D83" s="12">
        <v>13</v>
      </c>
      <c r="E83" t="b">
        <v>0</v>
      </c>
      <c r="F83" s="12">
        <v>2</v>
      </c>
      <c r="G83" s="12">
        <v>1</v>
      </c>
      <c r="H83" s="9">
        <v>0.24</v>
      </c>
      <c r="I83" t="s">
        <v>12</v>
      </c>
      <c r="J83" t="s">
        <v>20</v>
      </c>
      <c r="K83" t="s">
        <v>14</v>
      </c>
      <c r="L83" t="s">
        <v>24</v>
      </c>
    </row>
    <row r="84" spans="1:12" x14ac:dyDescent="0.3">
      <c r="A84" s="12">
        <v>83</v>
      </c>
      <c r="B84" s="2">
        <v>40547</v>
      </c>
      <c r="C84" s="12">
        <v>1</v>
      </c>
      <c r="D84" s="12">
        <v>14</v>
      </c>
      <c r="E84" t="b">
        <v>0</v>
      </c>
      <c r="F84" s="12">
        <v>2</v>
      </c>
      <c r="G84" s="12">
        <v>1</v>
      </c>
      <c r="H84" s="9">
        <v>0.26</v>
      </c>
      <c r="I84" t="s">
        <v>12</v>
      </c>
      <c r="J84" t="s">
        <v>20</v>
      </c>
      <c r="K84" t="s">
        <v>18</v>
      </c>
      <c r="L84" t="s">
        <v>24</v>
      </c>
    </row>
    <row r="85" spans="1:12" x14ac:dyDescent="0.3">
      <c r="A85" s="12">
        <v>84</v>
      </c>
      <c r="B85" s="2">
        <v>40547</v>
      </c>
      <c r="C85" s="12">
        <v>1</v>
      </c>
      <c r="D85" s="12">
        <v>15</v>
      </c>
      <c r="E85" t="b">
        <v>0</v>
      </c>
      <c r="F85" s="12">
        <v>2</v>
      </c>
      <c r="G85" s="12">
        <v>1</v>
      </c>
      <c r="H85" s="9">
        <v>0.28000000000000003</v>
      </c>
      <c r="I85" t="s">
        <v>12</v>
      </c>
      <c r="J85" t="s">
        <v>20</v>
      </c>
      <c r="K85" t="s">
        <v>18</v>
      </c>
      <c r="L85" t="s">
        <v>24</v>
      </c>
    </row>
    <row r="86" spans="1:12" x14ac:dyDescent="0.3">
      <c r="A86" s="12">
        <v>85</v>
      </c>
      <c r="B86" s="2">
        <v>40547</v>
      </c>
      <c r="C86" s="12">
        <v>1</v>
      </c>
      <c r="D86" s="12">
        <v>16</v>
      </c>
      <c r="E86" t="b">
        <v>0</v>
      </c>
      <c r="F86" s="12">
        <v>2</v>
      </c>
      <c r="G86" s="12">
        <v>1</v>
      </c>
      <c r="H86" s="9">
        <v>0.3</v>
      </c>
      <c r="I86" t="s">
        <v>12</v>
      </c>
      <c r="J86" t="s">
        <v>20</v>
      </c>
      <c r="K86" t="s">
        <v>18</v>
      </c>
      <c r="L86" t="s">
        <v>24</v>
      </c>
    </row>
    <row r="87" spans="1:12" x14ac:dyDescent="0.3">
      <c r="A87" s="12">
        <v>86</v>
      </c>
      <c r="B87" s="2">
        <v>40547</v>
      </c>
      <c r="C87" s="12">
        <v>1</v>
      </c>
      <c r="D87" s="12">
        <v>17</v>
      </c>
      <c r="E87" t="b">
        <v>0</v>
      </c>
      <c r="F87" s="12">
        <v>2</v>
      </c>
      <c r="G87" s="12">
        <v>1</v>
      </c>
      <c r="H87" s="9">
        <v>0.28000000000000003</v>
      </c>
      <c r="I87" t="s">
        <v>12</v>
      </c>
      <c r="J87" t="s">
        <v>22</v>
      </c>
      <c r="K87" t="s">
        <v>18</v>
      </c>
      <c r="L87" t="s">
        <v>24</v>
      </c>
    </row>
    <row r="88" spans="1:12" x14ac:dyDescent="0.3">
      <c r="A88" s="12">
        <v>87</v>
      </c>
      <c r="B88" s="2">
        <v>40547</v>
      </c>
      <c r="C88" s="12">
        <v>1</v>
      </c>
      <c r="D88" s="12">
        <v>18</v>
      </c>
      <c r="E88" t="b">
        <v>0</v>
      </c>
      <c r="F88" s="12">
        <v>2</v>
      </c>
      <c r="G88" s="12">
        <v>1</v>
      </c>
      <c r="H88" s="9">
        <v>0.26</v>
      </c>
      <c r="I88" t="s">
        <v>12</v>
      </c>
      <c r="J88" t="s">
        <v>22</v>
      </c>
      <c r="K88" t="s">
        <v>18</v>
      </c>
      <c r="L88" t="s">
        <v>24</v>
      </c>
    </row>
    <row r="89" spans="1:12" x14ac:dyDescent="0.3">
      <c r="A89" s="12">
        <v>88</v>
      </c>
      <c r="B89" s="2">
        <v>40547</v>
      </c>
      <c r="C89" s="12">
        <v>1</v>
      </c>
      <c r="D89" s="12">
        <v>19</v>
      </c>
      <c r="E89" t="b">
        <v>0</v>
      </c>
      <c r="F89" s="12">
        <v>2</v>
      </c>
      <c r="G89" s="12">
        <v>1</v>
      </c>
      <c r="H89" s="9">
        <v>0.24</v>
      </c>
      <c r="I89" t="s">
        <v>12</v>
      </c>
      <c r="J89" t="s">
        <v>22</v>
      </c>
      <c r="K89" t="s">
        <v>14</v>
      </c>
      <c r="L89" t="s">
        <v>24</v>
      </c>
    </row>
    <row r="90" spans="1:12" x14ac:dyDescent="0.3">
      <c r="A90" s="12">
        <v>89</v>
      </c>
      <c r="B90" s="2">
        <v>40547</v>
      </c>
      <c r="C90" s="12">
        <v>1</v>
      </c>
      <c r="D90" s="12">
        <v>20</v>
      </c>
      <c r="E90" t="b">
        <v>0</v>
      </c>
      <c r="F90" s="12">
        <v>2</v>
      </c>
      <c r="G90" s="12">
        <v>1</v>
      </c>
      <c r="H90" s="9">
        <v>0.24</v>
      </c>
      <c r="I90" t="s">
        <v>12</v>
      </c>
      <c r="J90" t="s">
        <v>22</v>
      </c>
      <c r="K90" t="s">
        <v>14</v>
      </c>
      <c r="L90" t="s">
        <v>24</v>
      </c>
    </row>
    <row r="91" spans="1:12" x14ac:dyDescent="0.3">
      <c r="A91" s="12">
        <v>90</v>
      </c>
      <c r="B91" s="2">
        <v>40547</v>
      </c>
      <c r="C91" s="12">
        <v>1</v>
      </c>
      <c r="D91" s="12">
        <v>21</v>
      </c>
      <c r="E91" t="b">
        <v>0</v>
      </c>
      <c r="F91" s="12">
        <v>2</v>
      </c>
      <c r="G91" s="12">
        <v>1</v>
      </c>
      <c r="H91" s="9">
        <v>0.22</v>
      </c>
      <c r="I91" t="s">
        <v>12</v>
      </c>
      <c r="J91" t="s">
        <v>13</v>
      </c>
      <c r="K91" t="s">
        <v>14</v>
      </c>
      <c r="L91" t="s">
        <v>24</v>
      </c>
    </row>
    <row r="92" spans="1:12" x14ac:dyDescent="0.3">
      <c r="A92" s="12">
        <v>91</v>
      </c>
      <c r="B92" s="2">
        <v>40547</v>
      </c>
      <c r="C92" s="12">
        <v>1</v>
      </c>
      <c r="D92" s="12">
        <v>22</v>
      </c>
      <c r="E92" t="b">
        <v>0</v>
      </c>
      <c r="F92" s="12">
        <v>2</v>
      </c>
      <c r="G92" s="12">
        <v>1</v>
      </c>
      <c r="H92" s="9">
        <v>0.22</v>
      </c>
      <c r="I92" t="s">
        <v>12</v>
      </c>
      <c r="J92" t="s">
        <v>13</v>
      </c>
      <c r="K92" t="s">
        <v>14</v>
      </c>
      <c r="L92" t="s">
        <v>24</v>
      </c>
    </row>
    <row r="93" spans="1:12" x14ac:dyDescent="0.3">
      <c r="A93" s="12">
        <v>92</v>
      </c>
      <c r="B93" s="2">
        <v>40547</v>
      </c>
      <c r="C93" s="12">
        <v>1</v>
      </c>
      <c r="D93" s="12">
        <v>23</v>
      </c>
      <c r="E93" t="b">
        <v>0</v>
      </c>
      <c r="F93" s="12">
        <v>2</v>
      </c>
      <c r="G93" s="12">
        <v>1</v>
      </c>
      <c r="H93" s="9">
        <v>0.2</v>
      </c>
      <c r="I93" t="s">
        <v>12</v>
      </c>
      <c r="J93" t="s">
        <v>13</v>
      </c>
      <c r="K93" t="s">
        <v>14</v>
      </c>
      <c r="L93" t="s">
        <v>24</v>
      </c>
    </row>
    <row r="94" spans="1:12" x14ac:dyDescent="0.3">
      <c r="A94" s="12">
        <v>93</v>
      </c>
      <c r="B94" s="2">
        <v>40548</v>
      </c>
      <c r="C94" s="12">
        <v>1</v>
      </c>
      <c r="D94" s="12">
        <v>0</v>
      </c>
      <c r="E94" t="b">
        <v>0</v>
      </c>
      <c r="F94" s="12">
        <v>3</v>
      </c>
      <c r="G94" s="12">
        <v>1</v>
      </c>
      <c r="H94" s="9">
        <v>0.2</v>
      </c>
      <c r="I94" t="s">
        <v>12</v>
      </c>
      <c r="J94" t="s">
        <v>13</v>
      </c>
      <c r="K94" t="s">
        <v>14</v>
      </c>
      <c r="L94" t="s">
        <v>24</v>
      </c>
    </row>
    <row r="95" spans="1:12" x14ac:dyDescent="0.3">
      <c r="A95" s="12">
        <v>94</v>
      </c>
      <c r="B95" s="2">
        <v>40548</v>
      </c>
      <c r="C95" s="12">
        <v>1</v>
      </c>
      <c r="D95" s="12">
        <v>1</v>
      </c>
      <c r="E95" t="b">
        <v>0</v>
      </c>
      <c r="F95" s="12">
        <v>3</v>
      </c>
      <c r="G95" s="12">
        <v>1</v>
      </c>
      <c r="H95" s="9">
        <v>0.16</v>
      </c>
      <c r="I95" t="s">
        <v>12</v>
      </c>
      <c r="J95" t="s">
        <v>13</v>
      </c>
      <c r="K95" t="s">
        <v>14</v>
      </c>
      <c r="L95" t="s">
        <v>24</v>
      </c>
    </row>
    <row r="96" spans="1:12" x14ac:dyDescent="0.3">
      <c r="A96" s="12">
        <v>95</v>
      </c>
      <c r="B96" s="2">
        <v>40548</v>
      </c>
      <c r="C96" s="12">
        <v>1</v>
      </c>
      <c r="D96" s="12">
        <v>2</v>
      </c>
      <c r="E96" t="b">
        <v>0</v>
      </c>
      <c r="F96" s="12">
        <v>3</v>
      </c>
      <c r="G96" s="12">
        <v>1</v>
      </c>
      <c r="H96" s="9">
        <v>0.16</v>
      </c>
      <c r="I96" t="s">
        <v>12</v>
      </c>
      <c r="J96" t="s">
        <v>13</v>
      </c>
      <c r="K96" t="s">
        <v>14</v>
      </c>
      <c r="L96" t="s">
        <v>24</v>
      </c>
    </row>
    <row r="97" spans="1:12" x14ac:dyDescent="0.3">
      <c r="A97" s="12">
        <v>96</v>
      </c>
      <c r="B97" s="2">
        <v>40548</v>
      </c>
      <c r="C97" s="12">
        <v>1</v>
      </c>
      <c r="D97" s="12">
        <v>4</v>
      </c>
      <c r="E97" t="b">
        <v>0</v>
      </c>
      <c r="F97" s="12">
        <v>3</v>
      </c>
      <c r="G97" s="12">
        <v>1</v>
      </c>
      <c r="H97" s="9">
        <v>0.24</v>
      </c>
      <c r="I97" t="s">
        <v>12</v>
      </c>
      <c r="J97" t="s">
        <v>13</v>
      </c>
      <c r="K97" t="s">
        <v>14</v>
      </c>
      <c r="L97" t="s">
        <v>24</v>
      </c>
    </row>
    <row r="98" spans="1:12" x14ac:dyDescent="0.3">
      <c r="A98" s="12">
        <v>97</v>
      </c>
      <c r="B98" s="2">
        <v>40548</v>
      </c>
      <c r="C98" s="12">
        <v>1</v>
      </c>
      <c r="D98" s="12">
        <v>5</v>
      </c>
      <c r="E98" t="b">
        <v>0</v>
      </c>
      <c r="F98" s="12">
        <v>3</v>
      </c>
      <c r="G98" s="12">
        <v>1</v>
      </c>
      <c r="H98" s="9">
        <v>0.22</v>
      </c>
      <c r="I98" t="s">
        <v>12</v>
      </c>
      <c r="J98" t="s">
        <v>13</v>
      </c>
      <c r="K98" t="s">
        <v>14</v>
      </c>
      <c r="L98" t="s">
        <v>24</v>
      </c>
    </row>
    <row r="99" spans="1:12" x14ac:dyDescent="0.3">
      <c r="A99" s="12">
        <v>98</v>
      </c>
      <c r="B99" s="2">
        <v>40548</v>
      </c>
      <c r="C99" s="12">
        <v>1</v>
      </c>
      <c r="D99" s="12">
        <v>6</v>
      </c>
      <c r="E99" t="b">
        <v>0</v>
      </c>
      <c r="F99" s="12">
        <v>3</v>
      </c>
      <c r="G99" s="12">
        <v>1</v>
      </c>
      <c r="H99" s="9">
        <v>0.2</v>
      </c>
      <c r="I99" t="s">
        <v>12</v>
      </c>
      <c r="J99" t="s">
        <v>17</v>
      </c>
      <c r="K99" t="s">
        <v>14</v>
      </c>
      <c r="L99" t="s">
        <v>24</v>
      </c>
    </row>
    <row r="100" spans="1:12" x14ac:dyDescent="0.3">
      <c r="A100" s="12">
        <v>99</v>
      </c>
      <c r="B100" s="2">
        <v>40548</v>
      </c>
      <c r="C100" s="12">
        <v>1</v>
      </c>
      <c r="D100" s="12">
        <v>7</v>
      </c>
      <c r="E100" t="b">
        <v>0</v>
      </c>
      <c r="F100" s="12">
        <v>3</v>
      </c>
      <c r="G100" s="12">
        <v>1</v>
      </c>
      <c r="H100" s="9">
        <v>0.18</v>
      </c>
      <c r="I100" t="s">
        <v>12</v>
      </c>
      <c r="J100" t="s">
        <v>17</v>
      </c>
      <c r="K100" t="s">
        <v>14</v>
      </c>
      <c r="L100" t="s">
        <v>24</v>
      </c>
    </row>
    <row r="101" spans="1:12" x14ac:dyDescent="0.3">
      <c r="A101" s="12">
        <v>100</v>
      </c>
      <c r="B101" s="2">
        <v>40548</v>
      </c>
      <c r="C101" s="12">
        <v>1</v>
      </c>
      <c r="D101" s="12">
        <v>8</v>
      </c>
      <c r="E101" t="b">
        <v>0</v>
      </c>
      <c r="F101" s="12">
        <v>3</v>
      </c>
      <c r="G101" s="12">
        <v>1</v>
      </c>
      <c r="H101" s="9">
        <v>0.2</v>
      </c>
      <c r="I101" t="s">
        <v>12</v>
      </c>
      <c r="J101" t="s">
        <v>17</v>
      </c>
      <c r="K101" t="s">
        <v>14</v>
      </c>
      <c r="L101" t="s">
        <v>24</v>
      </c>
    </row>
    <row r="102" spans="1:12" x14ac:dyDescent="0.3">
      <c r="A102" s="12">
        <v>101</v>
      </c>
      <c r="B102" s="2">
        <v>40548</v>
      </c>
      <c r="C102" s="12">
        <v>1</v>
      </c>
      <c r="D102" s="12">
        <v>9</v>
      </c>
      <c r="E102" t="b">
        <v>0</v>
      </c>
      <c r="F102" s="12">
        <v>3</v>
      </c>
      <c r="G102" s="12">
        <v>1</v>
      </c>
      <c r="H102" s="9">
        <v>0.22</v>
      </c>
      <c r="I102" t="s">
        <v>12</v>
      </c>
      <c r="J102" t="s">
        <v>17</v>
      </c>
      <c r="K102" t="s">
        <v>14</v>
      </c>
      <c r="L102" t="s">
        <v>24</v>
      </c>
    </row>
    <row r="103" spans="1:12" x14ac:dyDescent="0.3">
      <c r="A103" s="12">
        <v>102</v>
      </c>
      <c r="B103" s="2">
        <v>40548</v>
      </c>
      <c r="C103" s="12">
        <v>1</v>
      </c>
      <c r="D103" s="12">
        <v>10</v>
      </c>
      <c r="E103" t="b">
        <v>0</v>
      </c>
      <c r="F103" s="12">
        <v>3</v>
      </c>
      <c r="G103" s="12">
        <v>1</v>
      </c>
      <c r="H103" s="9">
        <v>0.22</v>
      </c>
      <c r="I103" t="s">
        <v>12</v>
      </c>
      <c r="J103" t="s">
        <v>17</v>
      </c>
      <c r="K103" t="s">
        <v>14</v>
      </c>
      <c r="L103" t="s">
        <v>24</v>
      </c>
    </row>
    <row r="104" spans="1:12" x14ac:dyDescent="0.3">
      <c r="A104" s="12">
        <v>103</v>
      </c>
      <c r="B104" s="2">
        <v>40548</v>
      </c>
      <c r="C104" s="12">
        <v>1</v>
      </c>
      <c r="D104" s="12">
        <v>11</v>
      </c>
      <c r="E104" t="b">
        <v>0</v>
      </c>
      <c r="F104" s="12">
        <v>3</v>
      </c>
      <c r="G104" s="12">
        <v>1</v>
      </c>
      <c r="H104" s="9">
        <v>0.26</v>
      </c>
      <c r="I104" t="s">
        <v>12</v>
      </c>
      <c r="J104" t="s">
        <v>17</v>
      </c>
      <c r="K104" t="s">
        <v>18</v>
      </c>
      <c r="L104" t="s">
        <v>24</v>
      </c>
    </row>
    <row r="105" spans="1:12" x14ac:dyDescent="0.3">
      <c r="A105" s="12">
        <v>104</v>
      </c>
      <c r="B105" s="2">
        <v>40548</v>
      </c>
      <c r="C105" s="12">
        <v>1</v>
      </c>
      <c r="D105" s="12">
        <v>12</v>
      </c>
      <c r="E105" t="b">
        <v>0</v>
      </c>
      <c r="F105" s="12">
        <v>3</v>
      </c>
      <c r="G105" s="12">
        <v>1</v>
      </c>
      <c r="H105" s="9">
        <v>0.26</v>
      </c>
      <c r="I105" t="s">
        <v>12</v>
      </c>
      <c r="J105" t="s">
        <v>20</v>
      </c>
      <c r="K105" t="s">
        <v>18</v>
      </c>
      <c r="L105" t="s">
        <v>24</v>
      </c>
    </row>
    <row r="106" spans="1:12" x14ac:dyDescent="0.3">
      <c r="A106" s="12">
        <v>105</v>
      </c>
      <c r="B106" s="2">
        <v>40548</v>
      </c>
      <c r="C106" s="12">
        <v>1</v>
      </c>
      <c r="D106" s="12">
        <v>13</v>
      </c>
      <c r="E106" t="b">
        <v>0</v>
      </c>
      <c r="F106" s="12">
        <v>3</v>
      </c>
      <c r="G106" s="12">
        <v>1</v>
      </c>
      <c r="H106" s="9">
        <v>0.28000000000000003</v>
      </c>
      <c r="I106" t="s">
        <v>12</v>
      </c>
      <c r="J106" t="s">
        <v>20</v>
      </c>
      <c r="K106" t="s">
        <v>18</v>
      </c>
      <c r="L106" t="s">
        <v>24</v>
      </c>
    </row>
    <row r="107" spans="1:12" x14ac:dyDescent="0.3">
      <c r="A107" s="12">
        <v>106</v>
      </c>
      <c r="B107" s="2">
        <v>40548</v>
      </c>
      <c r="C107" s="12">
        <v>1</v>
      </c>
      <c r="D107" s="12">
        <v>14</v>
      </c>
      <c r="E107" t="b">
        <v>0</v>
      </c>
      <c r="F107" s="12">
        <v>3</v>
      </c>
      <c r="G107" s="12">
        <v>1</v>
      </c>
      <c r="H107" s="9">
        <v>0.3</v>
      </c>
      <c r="I107" t="s">
        <v>12</v>
      </c>
      <c r="J107" t="s">
        <v>20</v>
      </c>
      <c r="K107" t="s">
        <v>18</v>
      </c>
      <c r="L107" t="s">
        <v>24</v>
      </c>
    </row>
    <row r="108" spans="1:12" x14ac:dyDescent="0.3">
      <c r="A108" s="12">
        <v>107</v>
      </c>
      <c r="B108" s="2">
        <v>40548</v>
      </c>
      <c r="C108" s="12">
        <v>1</v>
      </c>
      <c r="D108" s="12">
        <v>15</v>
      </c>
      <c r="E108" t="b">
        <v>0</v>
      </c>
      <c r="F108" s="12">
        <v>3</v>
      </c>
      <c r="G108" s="12">
        <v>1</v>
      </c>
      <c r="H108" s="9">
        <v>0.3</v>
      </c>
      <c r="I108" t="s">
        <v>12</v>
      </c>
      <c r="J108" t="s">
        <v>20</v>
      </c>
      <c r="K108" t="s">
        <v>18</v>
      </c>
      <c r="L108" t="s">
        <v>24</v>
      </c>
    </row>
    <row r="109" spans="1:12" x14ac:dyDescent="0.3">
      <c r="A109" s="12">
        <v>108</v>
      </c>
      <c r="B109" s="2">
        <v>40548</v>
      </c>
      <c r="C109" s="12">
        <v>1</v>
      </c>
      <c r="D109" s="12">
        <v>16</v>
      </c>
      <c r="E109" t="b">
        <v>0</v>
      </c>
      <c r="F109" s="12">
        <v>3</v>
      </c>
      <c r="G109" s="12">
        <v>1</v>
      </c>
      <c r="H109" s="9">
        <v>0.3</v>
      </c>
      <c r="I109" t="s">
        <v>12</v>
      </c>
      <c r="J109" t="s">
        <v>20</v>
      </c>
      <c r="K109" t="s">
        <v>18</v>
      </c>
      <c r="L109" t="s">
        <v>24</v>
      </c>
    </row>
    <row r="110" spans="1:12" x14ac:dyDescent="0.3">
      <c r="A110" s="12">
        <v>109</v>
      </c>
      <c r="B110" s="2">
        <v>40548</v>
      </c>
      <c r="C110" s="12">
        <v>1</v>
      </c>
      <c r="D110" s="12">
        <v>17</v>
      </c>
      <c r="E110" t="b">
        <v>0</v>
      </c>
      <c r="F110" s="12">
        <v>3</v>
      </c>
      <c r="G110" s="12">
        <v>1</v>
      </c>
      <c r="H110" s="9">
        <v>0.24</v>
      </c>
      <c r="I110" t="s">
        <v>12</v>
      </c>
      <c r="J110" t="s">
        <v>22</v>
      </c>
      <c r="K110" t="s">
        <v>14</v>
      </c>
      <c r="L110" t="s">
        <v>24</v>
      </c>
    </row>
    <row r="111" spans="1:12" x14ac:dyDescent="0.3">
      <c r="A111" s="12">
        <v>110</v>
      </c>
      <c r="B111" s="2">
        <v>40548</v>
      </c>
      <c r="C111" s="12">
        <v>1</v>
      </c>
      <c r="D111" s="12">
        <v>18</v>
      </c>
      <c r="E111" t="b">
        <v>0</v>
      </c>
      <c r="F111" s="12">
        <v>3</v>
      </c>
      <c r="G111" s="12">
        <v>1</v>
      </c>
      <c r="H111" s="9">
        <v>0.24</v>
      </c>
      <c r="I111" t="s">
        <v>12</v>
      </c>
      <c r="J111" t="s">
        <v>22</v>
      </c>
      <c r="K111" t="s">
        <v>14</v>
      </c>
      <c r="L111" t="s">
        <v>24</v>
      </c>
    </row>
    <row r="112" spans="1:12" x14ac:dyDescent="0.3">
      <c r="A112" s="12">
        <v>111</v>
      </c>
      <c r="B112" s="2">
        <v>40548</v>
      </c>
      <c r="C112" s="12">
        <v>1</v>
      </c>
      <c r="D112" s="12">
        <v>19</v>
      </c>
      <c r="E112" t="b">
        <v>0</v>
      </c>
      <c r="F112" s="12">
        <v>3</v>
      </c>
      <c r="G112" s="12">
        <v>1</v>
      </c>
      <c r="H112" s="9">
        <v>0.24</v>
      </c>
      <c r="I112" t="s">
        <v>12</v>
      </c>
      <c r="J112" t="s">
        <v>22</v>
      </c>
      <c r="K112" t="s">
        <v>14</v>
      </c>
      <c r="L112" t="s">
        <v>24</v>
      </c>
    </row>
    <row r="113" spans="1:12" x14ac:dyDescent="0.3">
      <c r="A113" s="12">
        <v>112</v>
      </c>
      <c r="B113" s="2">
        <v>40548</v>
      </c>
      <c r="C113" s="12">
        <v>1</v>
      </c>
      <c r="D113" s="12">
        <v>20</v>
      </c>
      <c r="E113" t="b">
        <v>0</v>
      </c>
      <c r="F113" s="12">
        <v>3</v>
      </c>
      <c r="G113" s="12">
        <v>1</v>
      </c>
      <c r="H113" s="9">
        <v>0.22</v>
      </c>
      <c r="I113" t="s">
        <v>12</v>
      </c>
      <c r="J113" t="s">
        <v>22</v>
      </c>
      <c r="K113" t="s">
        <v>14</v>
      </c>
      <c r="L113" t="s">
        <v>24</v>
      </c>
    </row>
    <row r="114" spans="1:12" x14ac:dyDescent="0.3">
      <c r="A114" s="12">
        <v>113</v>
      </c>
      <c r="B114" s="2">
        <v>40548</v>
      </c>
      <c r="C114" s="12">
        <v>1</v>
      </c>
      <c r="D114" s="12">
        <v>21</v>
      </c>
      <c r="E114" t="b">
        <v>0</v>
      </c>
      <c r="F114" s="12">
        <v>3</v>
      </c>
      <c r="G114" s="12">
        <v>1</v>
      </c>
      <c r="H114" s="9">
        <v>0.2</v>
      </c>
      <c r="I114" t="s">
        <v>12</v>
      </c>
      <c r="J114" t="s">
        <v>13</v>
      </c>
      <c r="K114" t="s">
        <v>14</v>
      </c>
      <c r="L114" t="s">
        <v>24</v>
      </c>
    </row>
    <row r="115" spans="1:12" x14ac:dyDescent="0.3">
      <c r="A115" s="12">
        <v>114</v>
      </c>
      <c r="B115" s="2">
        <v>40548</v>
      </c>
      <c r="C115" s="12">
        <v>1</v>
      </c>
      <c r="D115" s="12">
        <v>22</v>
      </c>
      <c r="E115" t="b">
        <v>0</v>
      </c>
      <c r="F115" s="12">
        <v>3</v>
      </c>
      <c r="G115" s="12">
        <v>1</v>
      </c>
      <c r="H115" s="9">
        <v>0.18</v>
      </c>
      <c r="I115" t="s">
        <v>12</v>
      </c>
      <c r="J115" t="s">
        <v>13</v>
      </c>
      <c r="K115" t="s">
        <v>14</v>
      </c>
      <c r="L115" t="s">
        <v>24</v>
      </c>
    </row>
    <row r="116" spans="1:12" x14ac:dyDescent="0.3">
      <c r="A116" s="12">
        <v>115</v>
      </c>
      <c r="B116" s="2">
        <v>40548</v>
      </c>
      <c r="C116" s="12">
        <v>1</v>
      </c>
      <c r="D116" s="12">
        <v>23</v>
      </c>
      <c r="E116" t="b">
        <v>0</v>
      </c>
      <c r="F116" s="12">
        <v>3</v>
      </c>
      <c r="G116" s="12">
        <v>1</v>
      </c>
      <c r="H116" s="9">
        <v>0.2</v>
      </c>
      <c r="I116" t="s">
        <v>12</v>
      </c>
      <c r="J116" t="s">
        <v>13</v>
      </c>
      <c r="K116" t="s">
        <v>14</v>
      </c>
      <c r="L116" t="s">
        <v>24</v>
      </c>
    </row>
    <row r="117" spans="1:12" x14ac:dyDescent="0.3">
      <c r="A117" s="12">
        <v>116</v>
      </c>
      <c r="B117" s="2">
        <v>40549</v>
      </c>
      <c r="C117" s="12">
        <v>1</v>
      </c>
      <c r="D117" s="12">
        <v>0</v>
      </c>
      <c r="E117" t="b">
        <v>0</v>
      </c>
      <c r="F117" s="12">
        <v>4</v>
      </c>
      <c r="G117" s="12">
        <v>1</v>
      </c>
      <c r="H117" s="9">
        <v>0.18</v>
      </c>
      <c r="I117" t="s">
        <v>12</v>
      </c>
      <c r="J117" t="s">
        <v>13</v>
      </c>
      <c r="K117" t="s">
        <v>14</v>
      </c>
      <c r="L117" t="s">
        <v>24</v>
      </c>
    </row>
    <row r="118" spans="1:12" x14ac:dyDescent="0.3">
      <c r="A118" s="12">
        <v>117</v>
      </c>
      <c r="B118" s="2">
        <v>40549</v>
      </c>
      <c r="C118" s="12">
        <v>1</v>
      </c>
      <c r="D118" s="12">
        <v>1</v>
      </c>
      <c r="E118" t="b">
        <v>0</v>
      </c>
      <c r="F118" s="12">
        <v>4</v>
      </c>
      <c r="G118" s="12">
        <v>1</v>
      </c>
      <c r="H118" s="9">
        <v>0.16</v>
      </c>
      <c r="I118" t="s">
        <v>12</v>
      </c>
      <c r="J118" t="s">
        <v>13</v>
      </c>
      <c r="K118" t="s">
        <v>14</v>
      </c>
      <c r="L118" t="s">
        <v>24</v>
      </c>
    </row>
    <row r="119" spans="1:12" x14ac:dyDescent="0.3">
      <c r="A119" s="12">
        <v>118</v>
      </c>
      <c r="B119" s="2">
        <v>40549</v>
      </c>
      <c r="C119" s="12">
        <v>1</v>
      </c>
      <c r="D119" s="12">
        <v>2</v>
      </c>
      <c r="E119" t="b">
        <v>0</v>
      </c>
      <c r="F119" s="12">
        <v>4</v>
      </c>
      <c r="G119" s="12">
        <v>1</v>
      </c>
      <c r="H119" s="9">
        <v>0.16</v>
      </c>
      <c r="I119" t="s">
        <v>12</v>
      </c>
      <c r="J119" t="s">
        <v>13</v>
      </c>
      <c r="K119" t="s">
        <v>14</v>
      </c>
      <c r="L119" t="s">
        <v>24</v>
      </c>
    </row>
    <row r="120" spans="1:12" x14ac:dyDescent="0.3">
      <c r="A120" s="12">
        <v>119</v>
      </c>
      <c r="B120" s="2">
        <v>40549</v>
      </c>
      <c r="C120" s="12">
        <v>1</v>
      </c>
      <c r="D120" s="12">
        <v>4</v>
      </c>
      <c r="E120" t="b">
        <v>0</v>
      </c>
      <c r="F120" s="12">
        <v>4</v>
      </c>
      <c r="G120" s="12">
        <v>2</v>
      </c>
      <c r="H120" s="9">
        <v>0.16</v>
      </c>
      <c r="I120" t="s">
        <v>16</v>
      </c>
      <c r="J120" t="s">
        <v>13</v>
      </c>
      <c r="K120" t="s">
        <v>14</v>
      </c>
      <c r="L120" t="s">
        <v>24</v>
      </c>
    </row>
    <row r="121" spans="1:12" x14ac:dyDescent="0.3">
      <c r="A121" s="12">
        <v>120</v>
      </c>
      <c r="B121" s="2">
        <v>40549</v>
      </c>
      <c r="C121" s="12">
        <v>1</v>
      </c>
      <c r="D121" s="12">
        <v>5</v>
      </c>
      <c r="E121" t="b">
        <v>0</v>
      </c>
      <c r="F121" s="12">
        <v>4</v>
      </c>
      <c r="G121" s="12">
        <v>2</v>
      </c>
      <c r="H121" s="9">
        <v>0.14000000000000001</v>
      </c>
      <c r="I121" t="s">
        <v>16</v>
      </c>
      <c r="J121" t="s">
        <v>13</v>
      </c>
      <c r="K121" t="s">
        <v>25</v>
      </c>
      <c r="L121" t="s">
        <v>24</v>
      </c>
    </row>
    <row r="122" spans="1:12" x14ac:dyDescent="0.3">
      <c r="A122" s="12">
        <v>121</v>
      </c>
      <c r="B122" s="2">
        <v>40549</v>
      </c>
      <c r="C122" s="12">
        <v>1</v>
      </c>
      <c r="D122" s="12">
        <v>6</v>
      </c>
      <c r="E122" t="b">
        <v>0</v>
      </c>
      <c r="F122" s="12">
        <v>4</v>
      </c>
      <c r="G122" s="12">
        <v>2</v>
      </c>
      <c r="H122" s="9">
        <v>0.14000000000000001</v>
      </c>
      <c r="I122" t="s">
        <v>16</v>
      </c>
      <c r="J122" t="s">
        <v>17</v>
      </c>
      <c r="K122" t="s">
        <v>25</v>
      </c>
      <c r="L122" t="s">
        <v>24</v>
      </c>
    </row>
    <row r="123" spans="1:12" x14ac:dyDescent="0.3">
      <c r="A123" s="12">
        <v>122</v>
      </c>
      <c r="B123" s="2">
        <v>40549</v>
      </c>
      <c r="C123" s="12">
        <v>1</v>
      </c>
      <c r="D123" s="12">
        <v>7</v>
      </c>
      <c r="E123" t="b">
        <v>0</v>
      </c>
      <c r="F123" s="12">
        <v>4</v>
      </c>
      <c r="G123" s="12">
        <v>2</v>
      </c>
      <c r="H123" s="9">
        <v>0.16</v>
      </c>
      <c r="I123" t="s">
        <v>16</v>
      </c>
      <c r="J123" t="s">
        <v>17</v>
      </c>
      <c r="K123" t="s">
        <v>14</v>
      </c>
      <c r="L123" t="s">
        <v>24</v>
      </c>
    </row>
    <row r="124" spans="1:12" x14ac:dyDescent="0.3">
      <c r="A124" s="12">
        <v>123</v>
      </c>
      <c r="B124" s="2">
        <v>40549</v>
      </c>
      <c r="C124" s="12">
        <v>1</v>
      </c>
      <c r="D124" s="12">
        <v>8</v>
      </c>
      <c r="E124" t="b">
        <v>0</v>
      </c>
      <c r="F124" s="12">
        <v>4</v>
      </c>
      <c r="G124" s="12">
        <v>1</v>
      </c>
      <c r="H124" s="9">
        <v>0.16</v>
      </c>
      <c r="I124" t="s">
        <v>12</v>
      </c>
      <c r="J124" t="s">
        <v>17</v>
      </c>
      <c r="K124" t="s">
        <v>14</v>
      </c>
      <c r="L124" t="s">
        <v>24</v>
      </c>
    </row>
    <row r="125" spans="1:12" x14ac:dyDescent="0.3">
      <c r="A125" s="12">
        <v>124</v>
      </c>
      <c r="B125" s="2">
        <v>40549</v>
      </c>
      <c r="C125" s="12">
        <v>1</v>
      </c>
      <c r="D125" s="12">
        <v>9</v>
      </c>
      <c r="E125" t="b">
        <v>0</v>
      </c>
      <c r="F125" s="12">
        <v>4</v>
      </c>
      <c r="G125" s="12">
        <v>2</v>
      </c>
      <c r="H125" s="9">
        <v>0.18</v>
      </c>
      <c r="I125" t="s">
        <v>16</v>
      </c>
      <c r="J125" t="s">
        <v>17</v>
      </c>
      <c r="K125" t="s">
        <v>14</v>
      </c>
      <c r="L125" t="s">
        <v>24</v>
      </c>
    </row>
    <row r="126" spans="1:12" x14ac:dyDescent="0.3">
      <c r="A126" s="12">
        <v>125</v>
      </c>
      <c r="B126" s="2">
        <v>40549</v>
      </c>
      <c r="C126" s="12">
        <v>1</v>
      </c>
      <c r="D126" s="12">
        <v>10</v>
      </c>
      <c r="E126" t="b">
        <v>0</v>
      </c>
      <c r="F126" s="12">
        <v>4</v>
      </c>
      <c r="G126" s="12">
        <v>1</v>
      </c>
      <c r="H126" s="9">
        <v>0.2</v>
      </c>
      <c r="I126" t="s">
        <v>12</v>
      </c>
      <c r="J126" t="s">
        <v>17</v>
      </c>
      <c r="K126" t="s">
        <v>14</v>
      </c>
      <c r="L126" t="s">
        <v>24</v>
      </c>
    </row>
    <row r="127" spans="1:12" x14ac:dyDescent="0.3">
      <c r="A127" s="12">
        <v>126</v>
      </c>
      <c r="B127" s="2">
        <v>40549</v>
      </c>
      <c r="C127" s="12">
        <v>1</v>
      </c>
      <c r="D127" s="12">
        <v>11</v>
      </c>
      <c r="E127" t="b">
        <v>0</v>
      </c>
      <c r="F127" s="12">
        <v>4</v>
      </c>
      <c r="G127" s="12">
        <v>1</v>
      </c>
      <c r="H127" s="9">
        <v>0.22</v>
      </c>
      <c r="I127" t="s">
        <v>12</v>
      </c>
      <c r="J127" t="s">
        <v>17</v>
      </c>
      <c r="K127" t="s">
        <v>14</v>
      </c>
      <c r="L127" t="s">
        <v>24</v>
      </c>
    </row>
    <row r="128" spans="1:12" x14ac:dyDescent="0.3">
      <c r="A128" s="12">
        <v>127</v>
      </c>
      <c r="B128" s="2">
        <v>40549</v>
      </c>
      <c r="C128" s="12">
        <v>1</v>
      </c>
      <c r="D128" s="12">
        <v>12</v>
      </c>
      <c r="E128" t="b">
        <v>0</v>
      </c>
      <c r="F128" s="12">
        <v>4</v>
      </c>
      <c r="G128" s="12">
        <v>1</v>
      </c>
      <c r="H128" s="9">
        <v>0.26</v>
      </c>
      <c r="I128" t="s">
        <v>12</v>
      </c>
      <c r="J128" t="s">
        <v>20</v>
      </c>
      <c r="K128" t="s">
        <v>18</v>
      </c>
      <c r="L128" t="s">
        <v>24</v>
      </c>
    </row>
    <row r="129" spans="1:12" x14ac:dyDescent="0.3">
      <c r="A129" s="12">
        <v>128</v>
      </c>
      <c r="B129" s="2">
        <v>40549</v>
      </c>
      <c r="C129" s="12">
        <v>1</v>
      </c>
      <c r="D129" s="12">
        <v>13</v>
      </c>
      <c r="E129" t="b">
        <v>0</v>
      </c>
      <c r="F129" s="12">
        <v>4</v>
      </c>
      <c r="G129" s="12">
        <v>1</v>
      </c>
      <c r="H129" s="9">
        <v>0.26</v>
      </c>
      <c r="I129" t="s">
        <v>12</v>
      </c>
      <c r="J129" t="s">
        <v>20</v>
      </c>
      <c r="K129" t="s">
        <v>18</v>
      </c>
      <c r="L129" t="s">
        <v>24</v>
      </c>
    </row>
    <row r="130" spans="1:12" x14ac:dyDescent="0.3">
      <c r="A130" s="12">
        <v>129</v>
      </c>
      <c r="B130" s="2">
        <v>40549</v>
      </c>
      <c r="C130" s="12">
        <v>1</v>
      </c>
      <c r="D130" s="12">
        <v>14</v>
      </c>
      <c r="E130" t="b">
        <v>0</v>
      </c>
      <c r="F130" s="12">
        <v>4</v>
      </c>
      <c r="G130" s="12">
        <v>1</v>
      </c>
      <c r="H130" s="9">
        <v>0.28000000000000003</v>
      </c>
      <c r="I130" t="s">
        <v>12</v>
      </c>
      <c r="J130" t="s">
        <v>20</v>
      </c>
      <c r="K130" t="s">
        <v>18</v>
      </c>
      <c r="L130" t="s">
        <v>24</v>
      </c>
    </row>
    <row r="131" spans="1:12" x14ac:dyDescent="0.3">
      <c r="A131" s="12">
        <v>130</v>
      </c>
      <c r="B131" s="2">
        <v>40549</v>
      </c>
      <c r="C131" s="12">
        <v>1</v>
      </c>
      <c r="D131" s="12">
        <v>15</v>
      </c>
      <c r="E131" t="b">
        <v>0</v>
      </c>
      <c r="F131" s="12">
        <v>4</v>
      </c>
      <c r="G131" s="12">
        <v>1</v>
      </c>
      <c r="H131" s="9">
        <v>0.28000000000000003</v>
      </c>
      <c r="I131" t="s">
        <v>12</v>
      </c>
      <c r="J131" t="s">
        <v>20</v>
      </c>
      <c r="K131" t="s">
        <v>18</v>
      </c>
      <c r="L131" t="s">
        <v>24</v>
      </c>
    </row>
    <row r="132" spans="1:12" x14ac:dyDescent="0.3">
      <c r="A132" s="12">
        <v>131</v>
      </c>
      <c r="B132" s="2">
        <v>40549</v>
      </c>
      <c r="C132" s="12">
        <v>1</v>
      </c>
      <c r="D132" s="12">
        <v>16</v>
      </c>
      <c r="E132" t="b">
        <v>0</v>
      </c>
      <c r="F132" s="12">
        <v>4</v>
      </c>
      <c r="G132" s="12">
        <v>1</v>
      </c>
      <c r="H132" s="9">
        <v>0.26</v>
      </c>
      <c r="I132" t="s">
        <v>12</v>
      </c>
      <c r="J132" t="s">
        <v>20</v>
      </c>
      <c r="K132" t="s">
        <v>18</v>
      </c>
      <c r="L132" t="s">
        <v>24</v>
      </c>
    </row>
    <row r="133" spans="1:12" x14ac:dyDescent="0.3">
      <c r="A133" s="12">
        <v>132</v>
      </c>
      <c r="B133" s="2">
        <v>40549</v>
      </c>
      <c r="C133" s="12">
        <v>1</v>
      </c>
      <c r="D133" s="12">
        <v>17</v>
      </c>
      <c r="E133" t="b">
        <v>0</v>
      </c>
      <c r="F133" s="12">
        <v>4</v>
      </c>
      <c r="G133" s="12">
        <v>1</v>
      </c>
      <c r="H133" s="9">
        <v>0.22</v>
      </c>
      <c r="I133" t="s">
        <v>12</v>
      </c>
      <c r="J133" t="s">
        <v>22</v>
      </c>
      <c r="K133" t="s">
        <v>14</v>
      </c>
      <c r="L133" t="s">
        <v>24</v>
      </c>
    </row>
    <row r="134" spans="1:12" x14ac:dyDescent="0.3">
      <c r="A134" s="12">
        <v>133</v>
      </c>
      <c r="B134" s="2">
        <v>40549</v>
      </c>
      <c r="C134" s="12">
        <v>1</v>
      </c>
      <c r="D134" s="12">
        <v>18</v>
      </c>
      <c r="E134" t="b">
        <v>0</v>
      </c>
      <c r="F134" s="12">
        <v>4</v>
      </c>
      <c r="G134" s="12">
        <v>1</v>
      </c>
      <c r="H134" s="9">
        <v>0.22</v>
      </c>
      <c r="I134" t="s">
        <v>12</v>
      </c>
      <c r="J134" t="s">
        <v>22</v>
      </c>
      <c r="K134" t="s">
        <v>14</v>
      </c>
      <c r="L134" t="s">
        <v>24</v>
      </c>
    </row>
    <row r="135" spans="1:12" x14ac:dyDescent="0.3">
      <c r="A135" s="12">
        <v>134</v>
      </c>
      <c r="B135" s="2">
        <v>40549</v>
      </c>
      <c r="C135" s="12">
        <v>1</v>
      </c>
      <c r="D135" s="12">
        <v>19</v>
      </c>
      <c r="E135" t="b">
        <v>0</v>
      </c>
      <c r="F135" s="12">
        <v>4</v>
      </c>
      <c r="G135" s="12">
        <v>1</v>
      </c>
      <c r="H135" s="9">
        <v>0.22</v>
      </c>
      <c r="I135" t="s">
        <v>12</v>
      </c>
      <c r="J135" t="s">
        <v>22</v>
      </c>
      <c r="K135" t="s">
        <v>14</v>
      </c>
      <c r="L135" t="s">
        <v>24</v>
      </c>
    </row>
    <row r="136" spans="1:12" x14ac:dyDescent="0.3">
      <c r="A136" s="12">
        <v>135</v>
      </c>
      <c r="B136" s="2">
        <v>40549</v>
      </c>
      <c r="C136" s="12">
        <v>1</v>
      </c>
      <c r="D136" s="12">
        <v>20</v>
      </c>
      <c r="E136" t="b">
        <v>0</v>
      </c>
      <c r="F136" s="12">
        <v>4</v>
      </c>
      <c r="G136" s="12">
        <v>1</v>
      </c>
      <c r="H136" s="9">
        <v>0.2</v>
      </c>
      <c r="I136" t="s">
        <v>12</v>
      </c>
      <c r="J136" t="s">
        <v>22</v>
      </c>
      <c r="K136" t="s">
        <v>14</v>
      </c>
      <c r="L136" t="s">
        <v>24</v>
      </c>
    </row>
    <row r="137" spans="1:12" x14ac:dyDescent="0.3">
      <c r="A137" s="12">
        <v>136</v>
      </c>
      <c r="B137" s="2">
        <v>40549</v>
      </c>
      <c r="C137" s="12">
        <v>1</v>
      </c>
      <c r="D137" s="12">
        <v>21</v>
      </c>
      <c r="E137" t="b">
        <v>0</v>
      </c>
      <c r="F137" s="12">
        <v>4</v>
      </c>
      <c r="G137" s="12">
        <v>2</v>
      </c>
      <c r="H137" s="9">
        <v>0.22</v>
      </c>
      <c r="I137" t="s">
        <v>16</v>
      </c>
      <c r="J137" t="s">
        <v>13</v>
      </c>
      <c r="K137" t="s">
        <v>14</v>
      </c>
      <c r="L137" t="s">
        <v>24</v>
      </c>
    </row>
    <row r="138" spans="1:12" x14ac:dyDescent="0.3">
      <c r="A138" s="12">
        <v>137</v>
      </c>
      <c r="B138" s="2">
        <v>40549</v>
      </c>
      <c r="C138" s="12">
        <v>1</v>
      </c>
      <c r="D138" s="12">
        <v>22</v>
      </c>
      <c r="E138" t="b">
        <v>0</v>
      </c>
      <c r="F138" s="12">
        <v>4</v>
      </c>
      <c r="G138" s="12">
        <v>2</v>
      </c>
      <c r="H138" s="9">
        <v>0.22</v>
      </c>
      <c r="I138" t="s">
        <v>16</v>
      </c>
      <c r="J138" t="s">
        <v>13</v>
      </c>
      <c r="K138" t="s">
        <v>14</v>
      </c>
      <c r="L138" t="s">
        <v>24</v>
      </c>
    </row>
    <row r="139" spans="1:12" x14ac:dyDescent="0.3">
      <c r="A139" s="12">
        <v>138</v>
      </c>
      <c r="B139" s="2">
        <v>40549</v>
      </c>
      <c r="C139" s="12">
        <v>1</v>
      </c>
      <c r="D139" s="12">
        <v>23</v>
      </c>
      <c r="E139" t="b">
        <v>0</v>
      </c>
      <c r="F139" s="12">
        <v>4</v>
      </c>
      <c r="G139" s="12">
        <v>2</v>
      </c>
      <c r="H139" s="9">
        <v>0.2</v>
      </c>
      <c r="I139" t="s">
        <v>16</v>
      </c>
      <c r="J139" t="s">
        <v>13</v>
      </c>
      <c r="K139" t="s">
        <v>14</v>
      </c>
      <c r="L139" t="s">
        <v>24</v>
      </c>
    </row>
    <row r="140" spans="1:12" x14ac:dyDescent="0.3">
      <c r="A140" s="12">
        <v>139</v>
      </c>
      <c r="B140" s="2">
        <v>40550</v>
      </c>
      <c r="C140" s="12">
        <v>1</v>
      </c>
      <c r="D140" s="12">
        <v>0</v>
      </c>
      <c r="E140" t="b">
        <v>0</v>
      </c>
      <c r="F140" s="12">
        <v>5</v>
      </c>
      <c r="G140" s="12">
        <v>2</v>
      </c>
      <c r="H140" s="9">
        <v>0.2</v>
      </c>
      <c r="I140" t="s">
        <v>16</v>
      </c>
      <c r="J140" t="s">
        <v>13</v>
      </c>
      <c r="K140" t="s">
        <v>14</v>
      </c>
      <c r="L140" t="s">
        <v>24</v>
      </c>
    </row>
    <row r="141" spans="1:12" x14ac:dyDescent="0.3">
      <c r="A141" s="12">
        <v>140</v>
      </c>
      <c r="B141" s="2">
        <v>40550</v>
      </c>
      <c r="C141" s="12">
        <v>1</v>
      </c>
      <c r="D141" s="12">
        <v>1</v>
      </c>
      <c r="E141" t="b">
        <v>0</v>
      </c>
      <c r="F141" s="12">
        <v>5</v>
      </c>
      <c r="G141" s="12">
        <v>2</v>
      </c>
      <c r="H141" s="9">
        <v>0.2</v>
      </c>
      <c r="I141" t="s">
        <v>16</v>
      </c>
      <c r="J141" t="s">
        <v>13</v>
      </c>
      <c r="K141" t="s">
        <v>14</v>
      </c>
      <c r="L141" t="s">
        <v>24</v>
      </c>
    </row>
    <row r="142" spans="1:12" x14ac:dyDescent="0.3">
      <c r="A142" s="12">
        <v>141</v>
      </c>
      <c r="B142" s="2">
        <v>40550</v>
      </c>
      <c r="C142" s="12">
        <v>1</v>
      </c>
      <c r="D142" s="12">
        <v>2</v>
      </c>
      <c r="E142" t="b">
        <v>0</v>
      </c>
      <c r="F142" s="12">
        <v>5</v>
      </c>
      <c r="G142" s="12">
        <v>2</v>
      </c>
      <c r="H142" s="9">
        <v>0.2</v>
      </c>
      <c r="I142" t="s">
        <v>16</v>
      </c>
      <c r="J142" t="s">
        <v>13</v>
      </c>
      <c r="K142" t="s">
        <v>14</v>
      </c>
      <c r="L142" t="s">
        <v>24</v>
      </c>
    </row>
    <row r="143" spans="1:12" x14ac:dyDescent="0.3">
      <c r="A143" s="12">
        <v>142</v>
      </c>
      <c r="B143" s="2">
        <v>40550</v>
      </c>
      <c r="C143" s="12">
        <v>1</v>
      </c>
      <c r="D143" s="12">
        <v>4</v>
      </c>
      <c r="E143" t="b">
        <v>0</v>
      </c>
      <c r="F143" s="12">
        <v>5</v>
      </c>
      <c r="G143" s="12">
        <v>2</v>
      </c>
      <c r="H143" s="9">
        <v>0.2</v>
      </c>
      <c r="I143" t="s">
        <v>16</v>
      </c>
      <c r="J143" t="s">
        <v>13</v>
      </c>
      <c r="K143" t="s">
        <v>14</v>
      </c>
      <c r="L143" t="s">
        <v>24</v>
      </c>
    </row>
    <row r="144" spans="1:12" x14ac:dyDescent="0.3">
      <c r="A144" s="12">
        <v>143</v>
      </c>
      <c r="B144" s="2">
        <v>40550</v>
      </c>
      <c r="C144" s="12">
        <v>1</v>
      </c>
      <c r="D144" s="12">
        <v>5</v>
      </c>
      <c r="E144" t="b">
        <v>0</v>
      </c>
      <c r="F144" s="12">
        <v>5</v>
      </c>
      <c r="G144" s="12">
        <v>3</v>
      </c>
      <c r="H144" s="9">
        <v>0.22</v>
      </c>
      <c r="I144" t="s">
        <v>23</v>
      </c>
      <c r="J144" t="s">
        <v>13</v>
      </c>
      <c r="K144" t="s">
        <v>14</v>
      </c>
      <c r="L144" t="s">
        <v>24</v>
      </c>
    </row>
    <row r="145" spans="1:12" x14ac:dyDescent="0.3">
      <c r="A145" s="12">
        <v>144</v>
      </c>
      <c r="B145" s="2">
        <v>40550</v>
      </c>
      <c r="C145" s="12">
        <v>1</v>
      </c>
      <c r="D145" s="12">
        <v>6</v>
      </c>
      <c r="E145" t="b">
        <v>0</v>
      </c>
      <c r="F145" s="12">
        <v>5</v>
      </c>
      <c r="G145" s="12">
        <v>2</v>
      </c>
      <c r="H145" s="9">
        <v>0.2</v>
      </c>
      <c r="I145" t="s">
        <v>16</v>
      </c>
      <c r="J145" t="s">
        <v>17</v>
      </c>
      <c r="K145" t="s">
        <v>14</v>
      </c>
      <c r="L145" t="s">
        <v>24</v>
      </c>
    </row>
    <row r="146" spans="1:12" x14ac:dyDescent="0.3">
      <c r="A146" s="12">
        <v>145</v>
      </c>
      <c r="B146" s="2">
        <v>40550</v>
      </c>
      <c r="C146" s="12">
        <v>1</v>
      </c>
      <c r="D146" s="12">
        <v>7</v>
      </c>
      <c r="E146" t="b">
        <v>0</v>
      </c>
      <c r="F146" s="12">
        <v>5</v>
      </c>
      <c r="G146" s="12">
        <v>1</v>
      </c>
      <c r="H146" s="9">
        <v>0.2</v>
      </c>
      <c r="I146" t="s">
        <v>12</v>
      </c>
      <c r="J146" t="s">
        <v>17</v>
      </c>
      <c r="K146" t="s">
        <v>14</v>
      </c>
      <c r="L146" t="s">
        <v>24</v>
      </c>
    </row>
    <row r="147" spans="1:12" x14ac:dyDescent="0.3">
      <c r="A147" s="12">
        <v>146</v>
      </c>
      <c r="B147" s="2">
        <v>40550</v>
      </c>
      <c r="C147" s="12">
        <v>1</v>
      </c>
      <c r="D147" s="12">
        <v>8</v>
      </c>
      <c r="E147" t="b">
        <v>0</v>
      </c>
      <c r="F147" s="12">
        <v>5</v>
      </c>
      <c r="G147" s="12">
        <v>1</v>
      </c>
      <c r="H147" s="9">
        <v>0.2</v>
      </c>
      <c r="I147" t="s">
        <v>12</v>
      </c>
      <c r="J147" t="s">
        <v>17</v>
      </c>
      <c r="K147" t="s">
        <v>14</v>
      </c>
      <c r="L147" t="s">
        <v>24</v>
      </c>
    </row>
    <row r="148" spans="1:12" x14ac:dyDescent="0.3">
      <c r="A148" s="12">
        <v>147</v>
      </c>
      <c r="B148" s="2">
        <v>40550</v>
      </c>
      <c r="C148" s="12">
        <v>1</v>
      </c>
      <c r="D148" s="12">
        <v>9</v>
      </c>
      <c r="E148" t="b">
        <v>0</v>
      </c>
      <c r="F148" s="12">
        <v>5</v>
      </c>
      <c r="G148" s="12">
        <v>1</v>
      </c>
      <c r="H148" s="9">
        <v>0.2</v>
      </c>
      <c r="I148" t="s">
        <v>12</v>
      </c>
      <c r="J148" t="s">
        <v>17</v>
      </c>
      <c r="K148" t="s">
        <v>14</v>
      </c>
      <c r="L148" t="s">
        <v>24</v>
      </c>
    </row>
    <row r="149" spans="1:12" x14ac:dyDescent="0.3">
      <c r="A149" s="12">
        <v>148</v>
      </c>
      <c r="B149" s="2">
        <v>40550</v>
      </c>
      <c r="C149" s="12">
        <v>1</v>
      </c>
      <c r="D149" s="12">
        <v>10</v>
      </c>
      <c r="E149" t="b">
        <v>0</v>
      </c>
      <c r="F149" s="12">
        <v>5</v>
      </c>
      <c r="G149" s="12">
        <v>1</v>
      </c>
      <c r="H149" s="9">
        <v>0.22</v>
      </c>
      <c r="I149" t="s">
        <v>12</v>
      </c>
      <c r="J149" t="s">
        <v>17</v>
      </c>
      <c r="K149" t="s">
        <v>14</v>
      </c>
      <c r="L149" t="s">
        <v>24</v>
      </c>
    </row>
    <row r="150" spans="1:12" x14ac:dyDescent="0.3">
      <c r="A150" s="12">
        <v>149</v>
      </c>
      <c r="B150" s="2">
        <v>40550</v>
      </c>
      <c r="C150" s="12">
        <v>1</v>
      </c>
      <c r="D150" s="12">
        <v>11</v>
      </c>
      <c r="E150" t="b">
        <v>0</v>
      </c>
      <c r="F150" s="12">
        <v>5</v>
      </c>
      <c r="G150" s="12">
        <v>2</v>
      </c>
      <c r="H150" s="9">
        <v>0.2</v>
      </c>
      <c r="I150" t="s">
        <v>16</v>
      </c>
      <c r="J150" t="s">
        <v>17</v>
      </c>
      <c r="K150" t="s">
        <v>14</v>
      </c>
      <c r="L150" t="s">
        <v>24</v>
      </c>
    </row>
    <row r="151" spans="1:12" x14ac:dyDescent="0.3">
      <c r="A151" s="12">
        <v>150</v>
      </c>
      <c r="B151" s="2">
        <v>40550</v>
      </c>
      <c r="C151" s="12">
        <v>1</v>
      </c>
      <c r="D151" s="12">
        <v>12</v>
      </c>
      <c r="E151" t="b">
        <v>0</v>
      </c>
      <c r="F151" s="12">
        <v>5</v>
      </c>
      <c r="G151" s="12">
        <v>2</v>
      </c>
      <c r="H151" s="9">
        <v>0.2</v>
      </c>
      <c r="I151" t="s">
        <v>16</v>
      </c>
      <c r="J151" t="s">
        <v>20</v>
      </c>
      <c r="K151" t="s">
        <v>14</v>
      </c>
      <c r="L151" t="s">
        <v>24</v>
      </c>
    </row>
    <row r="152" spans="1:12" x14ac:dyDescent="0.3">
      <c r="A152" s="12">
        <v>151</v>
      </c>
      <c r="B152" s="2">
        <v>40550</v>
      </c>
      <c r="C152" s="12">
        <v>1</v>
      </c>
      <c r="D152" s="12">
        <v>13</v>
      </c>
      <c r="E152" t="b">
        <v>0</v>
      </c>
      <c r="F152" s="12">
        <v>5</v>
      </c>
      <c r="G152" s="12">
        <v>2</v>
      </c>
      <c r="H152" s="9">
        <v>0.2</v>
      </c>
      <c r="I152" t="s">
        <v>16</v>
      </c>
      <c r="J152" t="s">
        <v>20</v>
      </c>
      <c r="K152" t="s">
        <v>14</v>
      </c>
      <c r="L152" t="s">
        <v>24</v>
      </c>
    </row>
    <row r="153" spans="1:12" x14ac:dyDescent="0.3">
      <c r="A153" s="12">
        <v>152</v>
      </c>
      <c r="B153" s="2">
        <v>40550</v>
      </c>
      <c r="C153" s="12">
        <v>1</v>
      </c>
      <c r="D153" s="12">
        <v>14</v>
      </c>
      <c r="E153" t="b">
        <v>0</v>
      </c>
      <c r="F153" s="12">
        <v>5</v>
      </c>
      <c r="G153" s="12">
        <v>2</v>
      </c>
      <c r="H153" s="9">
        <v>0.2</v>
      </c>
      <c r="I153" t="s">
        <v>16</v>
      </c>
      <c r="J153" t="s">
        <v>20</v>
      </c>
      <c r="K153" t="s">
        <v>14</v>
      </c>
      <c r="L153" t="s">
        <v>24</v>
      </c>
    </row>
    <row r="154" spans="1:12" x14ac:dyDescent="0.3">
      <c r="A154" s="12">
        <v>153</v>
      </c>
      <c r="B154" s="2">
        <v>40550</v>
      </c>
      <c r="C154" s="12">
        <v>1</v>
      </c>
      <c r="D154" s="12">
        <v>15</v>
      </c>
      <c r="E154" t="b">
        <v>0</v>
      </c>
      <c r="F154" s="12">
        <v>5</v>
      </c>
      <c r="G154" s="12">
        <v>2</v>
      </c>
      <c r="H154" s="9">
        <v>0.2</v>
      </c>
      <c r="I154" t="s">
        <v>16</v>
      </c>
      <c r="J154" t="s">
        <v>20</v>
      </c>
      <c r="K154" t="s">
        <v>14</v>
      </c>
      <c r="L154" t="s">
        <v>24</v>
      </c>
    </row>
    <row r="155" spans="1:12" x14ac:dyDescent="0.3">
      <c r="A155" s="12">
        <v>154</v>
      </c>
      <c r="B155" s="2">
        <v>40550</v>
      </c>
      <c r="C155" s="12">
        <v>1</v>
      </c>
      <c r="D155" s="12">
        <v>16</v>
      </c>
      <c r="E155" t="b">
        <v>0</v>
      </c>
      <c r="F155" s="12">
        <v>5</v>
      </c>
      <c r="G155" s="12">
        <v>2</v>
      </c>
      <c r="H155" s="9">
        <v>0.2</v>
      </c>
      <c r="I155" t="s">
        <v>16</v>
      </c>
      <c r="J155" t="s">
        <v>20</v>
      </c>
      <c r="K155" t="s">
        <v>14</v>
      </c>
      <c r="L155" t="s">
        <v>24</v>
      </c>
    </row>
    <row r="156" spans="1:12" x14ac:dyDescent="0.3">
      <c r="A156" s="12">
        <v>155</v>
      </c>
      <c r="B156" s="2">
        <v>40550</v>
      </c>
      <c r="C156" s="12">
        <v>1</v>
      </c>
      <c r="D156" s="12">
        <v>17</v>
      </c>
      <c r="E156" t="b">
        <v>0</v>
      </c>
      <c r="F156" s="12">
        <v>5</v>
      </c>
      <c r="G156" s="12">
        <v>2</v>
      </c>
      <c r="H156" s="9">
        <v>0.2</v>
      </c>
      <c r="I156" t="s">
        <v>16</v>
      </c>
      <c r="J156" t="s">
        <v>22</v>
      </c>
      <c r="K156" t="s">
        <v>14</v>
      </c>
      <c r="L156" t="s">
        <v>24</v>
      </c>
    </row>
    <row r="157" spans="1:12" x14ac:dyDescent="0.3">
      <c r="A157" s="12">
        <v>156</v>
      </c>
      <c r="B157" s="2">
        <v>40550</v>
      </c>
      <c r="C157" s="12">
        <v>1</v>
      </c>
      <c r="D157" s="12">
        <v>18</v>
      </c>
      <c r="E157" t="b">
        <v>0</v>
      </c>
      <c r="F157" s="12">
        <v>5</v>
      </c>
      <c r="G157" s="12">
        <v>1</v>
      </c>
      <c r="H157" s="9">
        <v>0.2</v>
      </c>
      <c r="I157" t="s">
        <v>12</v>
      </c>
      <c r="J157" t="s">
        <v>22</v>
      </c>
      <c r="K157" t="s">
        <v>14</v>
      </c>
      <c r="L157" t="s">
        <v>24</v>
      </c>
    </row>
    <row r="158" spans="1:12" x14ac:dyDescent="0.3">
      <c r="A158" s="12">
        <v>157</v>
      </c>
      <c r="B158" s="2">
        <v>40550</v>
      </c>
      <c r="C158" s="12">
        <v>1</v>
      </c>
      <c r="D158" s="12">
        <v>19</v>
      </c>
      <c r="E158" t="b">
        <v>0</v>
      </c>
      <c r="F158" s="12">
        <v>5</v>
      </c>
      <c r="G158" s="12">
        <v>1</v>
      </c>
      <c r="H158" s="9">
        <v>0.16</v>
      </c>
      <c r="I158" t="s">
        <v>12</v>
      </c>
      <c r="J158" t="s">
        <v>22</v>
      </c>
      <c r="K158" t="s">
        <v>14</v>
      </c>
      <c r="L158" t="s">
        <v>24</v>
      </c>
    </row>
    <row r="159" spans="1:12" x14ac:dyDescent="0.3">
      <c r="A159" s="12">
        <v>158</v>
      </c>
      <c r="B159" s="2">
        <v>40550</v>
      </c>
      <c r="C159" s="12">
        <v>1</v>
      </c>
      <c r="D159" s="12">
        <v>20</v>
      </c>
      <c r="E159" t="b">
        <v>0</v>
      </c>
      <c r="F159" s="12">
        <v>5</v>
      </c>
      <c r="G159" s="12">
        <v>1</v>
      </c>
      <c r="H159" s="9">
        <v>0.18</v>
      </c>
      <c r="I159" t="s">
        <v>12</v>
      </c>
      <c r="J159" t="s">
        <v>22</v>
      </c>
      <c r="K159" t="s">
        <v>14</v>
      </c>
      <c r="L159" t="s">
        <v>24</v>
      </c>
    </row>
    <row r="160" spans="1:12" x14ac:dyDescent="0.3">
      <c r="A160" s="12">
        <v>159</v>
      </c>
      <c r="B160" s="2">
        <v>40550</v>
      </c>
      <c r="C160" s="12">
        <v>1</v>
      </c>
      <c r="D160" s="12">
        <v>21</v>
      </c>
      <c r="E160" t="b">
        <v>0</v>
      </c>
      <c r="F160" s="12">
        <v>5</v>
      </c>
      <c r="G160" s="12">
        <v>1</v>
      </c>
      <c r="H160" s="9">
        <v>0.18</v>
      </c>
      <c r="I160" t="s">
        <v>12</v>
      </c>
      <c r="J160" t="s">
        <v>13</v>
      </c>
      <c r="K160" t="s">
        <v>14</v>
      </c>
      <c r="L160" t="s">
        <v>24</v>
      </c>
    </row>
    <row r="161" spans="1:12" x14ac:dyDescent="0.3">
      <c r="A161" s="12">
        <v>160</v>
      </c>
      <c r="B161" s="2">
        <v>40550</v>
      </c>
      <c r="C161" s="12">
        <v>1</v>
      </c>
      <c r="D161" s="12">
        <v>22</v>
      </c>
      <c r="E161" t="b">
        <v>0</v>
      </c>
      <c r="F161" s="12">
        <v>5</v>
      </c>
      <c r="G161" s="12">
        <v>2</v>
      </c>
      <c r="H161" s="9">
        <v>0.18</v>
      </c>
      <c r="I161" t="s">
        <v>16</v>
      </c>
      <c r="J161" t="s">
        <v>13</v>
      </c>
      <c r="K161" t="s">
        <v>14</v>
      </c>
      <c r="L161" t="s">
        <v>24</v>
      </c>
    </row>
    <row r="162" spans="1:12" x14ac:dyDescent="0.3">
      <c r="A162" s="12">
        <v>161</v>
      </c>
      <c r="B162" s="2">
        <v>40550</v>
      </c>
      <c r="C162" s="12">
        <v>1</v>
      </c>
      <c r="D162" s="12">
        <v>23</v>
      </c>
      <c r="E162" t="b">
        <v>0</v>
      </c>
      <c r="F162" s="12">
        <v>5</v>
      </c>
      <c r="G162" s="12">
        <v>2</v>
      </c>
      <c r="H162" s="9">
        <v>0.18</v>
      </c>
      <c r="I162" t="s">
        <v>16</v>
      </c>
      <c r="J162" t="s">
        <v>13</v>
      </c>
      <c r="K162" t="s">
        <v>14</v>
      </c>
      <c r="L162" t="s">
        <v>24</v>
      </c>
    </row>
    <row r="163" spans="1:12" x14ac:dyDescent="0.3">
      <c r="A163" s="12">
        <v>162</v>
      </c>
      <c r="B163" s="2">
        <v>40551</v>
      </c>
      <c r="C163" s="12">
        <v>1</v>
      </c>
      <c r="D163" s="12">
        <v>0</v>
      </c>
      <c r="E163" t="b">
        <v>0</v>
      </c>
      <c r="F163" s="12">
        <v>6</v>
      </c>
      <c r="G163" s="12">
        <v>2</v>
      </c>
      <c r="H163" s="9">
        <v>0.18</v>
      </c>
      <c r="I163" t="s">
        <v>16</v>
      </c>
      <c r="J163" t="s">
        <v>13</v>
      </c>
      <c r="K163" t="s">
        <v>14</v>
      </c>
      <c r="L163" t="s">
        <v>15</v>
      </c>
    </row>
    <row r="164" spans="1:12" x14ac:dyDescent="0.3">
      <c r="A164" s="12">
        <v>163</v>
      </c>
      <c r="B164" s="2">
        <v>40551</v>
      </c>
      <c r="C164" s="12">
        <v>1</v>
      </c>
      <c r="D164" s="12">
        <v>1</v>
      </c>
      <c r="E164" t="b">
        <v>0</v>
      </c>
      <c r="F164" s="12">
        <v>6</v>
      </c>
      <c r="G164" s="12">
        <v>2</v>
      </c>
      <c r="H164" s="9">
        <v>0.18</v>
      </c>
      <c r="I164" t="s">
        <v>16</v>
      </c>
      <c r="J164" t="s">
        <v>13</v>
      </c>
      <c r="K164" t="s">
        <v>14</v>
      </c>
      <c r="L164" t="s">
        <v>15</v>
      </c>
    </row>
    <row r="165" spans="1:12" x14ac:dyDescent="0.3">
      <c r="A165" s="12">
        <v>164</v>
      </c>
      <c r="B165" s="2">
        <v>40551</v>
      </c>
      <c r="C165" s="12">
        <v>1</v>
      </c>
      <c r="D165" s="12">
        <v>2</v>
      </c>
      <c r="E165" t="b">
        <v>0</v>
      </c>
      <c r="F165" s="12">
        <v>6</v>
      </c>
      <c r="G165" s="12">
        <v>2</v>
      </c>
      <c r="H165" s="9">
        <v>0.18</v>
      </c>
      <c r="I165" t="s">
        <v>16</v>
      </c>
      <c r="J165" t="s">
        <v>13</v>
      </c>
      <c r="K165" t="s">
        <v>14</v>
      </c>
      <c r="L165" t="s">
        <v>15</v>
      </c>
    </row>
    <row r="166" spans="1:12" x14ac:dyDescent="0.3">
      <c r="A166" s="12">
        <v>165</v>
      </c>
      <c r="B166" s="2">
        <v>40551</v>
      </c>
      <c r="C166" s="12">
        <v>1</v>
      </c>
      <c r="D166" s="12">
        <v>3</v>
      </c>
      <c r="E166" t="b">
        <v>0</v>
      </c>
      <c r="F166" s="12">
        <v>6</v>
      </c>
      <c r="G166" s="12">
        <v>3</v>
      </c>
      <c r="H166" s="9">
        <v>0.18</v>
      </c>
      <c r="I166" t="s">
        <v>23</v>
      </c>
      <c r="J166" t="s">
        <v>13</v>
      </c>
      <c r="K166" t="s">
        <v>14</v>
      </c>
      <c r="L166" t="s">
        <v>15</v>
      </c>
    </row>
    <row r="167" spans="1:12" x14ac:dyDescent="0.3">
      <c r="A167" s="12">
        <v>166</v>
      </c>
      <c r="B167" s="2">
        <v>40551</v>
      </c>
      <c r="C167" s="12">
        <v>1</v>
      </c>
      <c r="D167" s="12">
        <v>4</v>
      </c>
      <c r="E167" t="b">
        <v>0</v>
      </c>
      <c r="F167" s="12">
        <v>6</v>
      </c>
      <c r="G167" s="12">
        <v>3</v>
      </c>
      <c r="H167" s="9">
        <v>0.18</v>
      </c>
      <c r="I167" t="s">
        <v>23</v>
      </c>
      <c r="J167" t="s">
        <v>13</v>
      </c>
      <c r="K167" t="s">
        <v>14</v>
      </c>
      <c r="L167" t="s">
        <v>15</v>
      </c>
    </row>
    <row r="168" spans="1:12" x14ac:dyDescent="0.3">
      <c r="A168" s="12">
        <v>167</v>
      </c>
      <c r="B168" s="2">
        <v>40551</v>
      </c>
      <c r="C168" s="12">
        <v>1</v>
      </c>
      <c r="D168" s="12">
        <v>5</v>
      </c>
      <c r="E168" t="b">
        <v>0</v>
      </c>
      <c r="F168" s="12">
        <v>6</v>
      </c>
      <c r="G168" s="12">
        <v>2</v>
      </c>
      <c r="H168" s="9">
        <v>0.16</v>
      </c>
      <c r="I168" t="s">
        <v>16</v>
      </c>
      <c r="J168" t="s">
        <v>13</v>
      </c>
      <c r="K168" t="s">
        <v>14</v>
      </c>
      <c r="L168" t="s">
        <v>15</v>
      </c>
    </row>
    <row r="169" spans="1:12" x14ac:dyDescent="0.3">
      <c r="A169" s="12">
        <v>168</v>
      </c>
      <c r="B169" s="2">
        <v>40551</v>
      </c>
      <c r="C169" s="12">
        <v>1</v>
      </c>
      <c r="D169" s="12">
        <v>6</v>
      </c>
      <c r="E169" t="b">
        <v>0</v>
      </c>
      <c r="F169" s="12">
        <v>6</v>
      </c>
      <c r="G169" s="12">
        <v>2</v>
      </c>
      <c r="H169" s="9">
        <v>0.16</v>
      </c>
      <c r="I169" t="s">
        <v>16</v>
      </c>
      <c r="J169" t="s">
        <v>17</v>
      </c>
      <c r="K169" t="s">
        <v>14</v>
      </c>
      <c r="L169" t="s">
        <v>15</v>
      </c>
    </row>
    <row r="170" spans="1:12" x14ac:dyDescent="0.3">
      <c r="A170" s="12">
        <v>169</v>
      </c>
      <c r="B170" s="2">
        <v>40551</v>
      </c>
      <c r="C170" s="12">
        <v>1</v>
      </c>
      <c r="D170" s="12">
        <v>7</v>
      </c>
      <c r="E170" t="b">
        <v>0</v>
      </c>
      <c r="F170" s="12">
        <v>6</v>
      </c>
      <c r="G170" s="12">
        <v>2</v>
      </c>
      <c r="H170" s="9">
        <v>0.16</v>
      </c>
      <c r="I170" t="s">
        <v>16</v>
      </c>
      <c r="J170" t="s">
        <v>17</v>
      </c>
      <c r="K170" t="s">
        <v>14</v>
      </c>
      <c r="L170" t="s">
        <v>15</v>
      </c>
    </row>
    <row r="171" spans="1:12" x14ac:dyDescent="0.3">
      <c r="A171" s="12">
        <v>170</v>
      </c>
      <c r="B171" s="2">
        <v>40551</v>
      </c>
      <c r="C171" s="12">
        <v>1</v>
      </c>
      <c r="D171" s="12">
        <v>8</v>
      </c>
      <c r="E171" t="b">
        <v>0</v>
      </c>
      <c r="F171" s="12">
        <v>6</v>
      </c>
      <c r="G171" s="12">
        <v>3</v>
      </c>
      <c r="H171" s="9">
        <v>0.16</v>
      </c>
      <c r="I171" t="s">
        <v>23</v>
      </c>
      <c r="J171" t="s">
        <v>17</v>
      </c>
      <c r="K171" t="s">
        <v>14</v>
      </c>
      <c r="L171" t="s">
        <v>15</v>
      </c>
    </row>
    <row r="172" spans="1:12" x14ac:dyDescent="0.3">
      <c r="A172" s="12">
        <v>171</v>
      </c>
      <c r="B172" s="2">
        <v>40551</v>
      </c>
      <c r="C172" s="12">
        <v>1</v>
      </c>
      <c r="D172" s="12">
        <v>9</v>
      </c>
      <c r="E172" t="b">
        <v>0</v>
      </c>
      <c r="F172" s="12">
        <v>6</v>
      </c>
      <c r="G172" s="12">
        <v>3</v>
      </c>
      <c r="H172" s="9">
        <v>0.16</v>
      </c>
      <c r="I172" t="s">
        <v>23</v>
      </c>
      <c r="J172" t="s">
        <v>17</v>
      </c>
      <c r="K172" t="s">
        <v>14</v>
      </c>
      <c r="L172" t="s">
        <v>15</v>
      </c>
    </row>
    <row r="173" spans="1:12" x14ac:dyDescent="0.3">
      <c r="A173" s="12">
        <v>172</v>
      </c>
      <c r="B173" s="2">
        <v>40551</v>
      </c>
      <c r="C173" s="12">
        <v>1</v>
      </c>
      <c r="D173" s="12">
        <v>10</v>
      </c>
      <c r="E173" t="b">
        <v>0</v>
      </c>
      <c r="F173" s="12">
        <v>6</v>
      </c>
      <c r="G173" s="12">
        <v>2</v>
      </c>
      <c r="H173" s="9">
        <v>0.18</v>
      </c>
      <c r="I173" t="s">
        <v>16</v>
      </c>
      <c r="J173" t="s">
        <v>17</v>
      </c>
      <c r="K173" t="s">
        <v>14</v>
      </c>
      <c r="L173" t="s">
        <v>15</v>
      </c>
    </row>
    <row r="174" spans="1:12" x14ac:dyDescent="0.3">
      <c r="A174" s="12">
        <v>173</v>
      </c>
      <c r="B174" s="2">
        <v>40551</v>
      </c>
      <c r="C174" s="12">
        <v>1</v>
      </c>
      <c r="D174" s="12">
        <v>11</v>
      </c>
      <c r="E174" t="b">
        <v>0</v>
      </c>
      <c r="F174" s="12">
        <v>6</v>
      </c>
      <c r="G174" s="12">
        <v>2</v>
      </c>
      <c r="H174" s="9">
        <v>0.2</v>
      </c>
      <c r="I174" t="s">
        <v>16</v>
      </c>
      <c r="J174" t="s">
        <v>17</v>
      </c>
      <c r="K174" t="s">
        <v>14</v>
      </c>
      <c r="L174" t="s">
        <v>15</v>
      </c>
    </row>
    <row r="175" spans="1:12" x14ac:dyDescent="0.3">
      <c r="A175" s="12">
        <v>174</v>
      </c>
      <c r="B175" s="2">
        <v>40551</v>
      </c>
      <c r="C175" s="12">
        <v>1</v>
      </c>
      <c r="D175" s="12">
        <v>12</v>
      </c>
      <c r="E175" t="b">
        <v>0</v>
      </c>
      <c r="F175" s="12">
        <v>6</v>
      </c>
      <c r="G175" s="12">
        <v>2</v>
      </c>
      <c r="H175" s="9">
        <v>0.2</v>
      </c>
      <c r="I175" t="s">
        <v>16</v>
      </c>
      <c r="J175" t="s">
        <v>20</v>
      </c>
      <c r="K175" t="s">
        <v>14</v>
      </c>
      <c r="L175" t="s">
        <v>15</v>
      </c>
    </row>
    <row r="176" spans="1:12" x14ac:dyDescent="0.3">
      <c r="A176" s="12">
        <v>175</v>
      </c>
      <c r="B176" s="2">
        <v>40551</v>
      </c>
      <c r="C176" s="12">
        <v>1</v>
      </c>
      <c r="D176" s="12">
        <v>13</v>
      </c>
      <c r="E176" t="b">
        <v>0</v>
      </c>
      <c r="F176" s="12">
        <v>6</v>
      </c>
      <c r="G176" s="12">
        <v>1</v>
      </c>
      <c r="H176" s="9">
        <v>0.2</v>
      </c>
      <c r="I176" t="s">
        <v>12</v>
      </c>
      <c r="J176" t="s">
        <v>20</v>
      </c>
      <c r="K176" t="s">
        <v>14</v>
      </c>
      <c r="L176" t="s">
        <v>15</v>
      </c>
    </row>
    <row r="177" spans="1:12" x14ac:dyDescent="0.3">
      <c r="A177" s="12">
        <v>176</v>
      </c>
      <c r="B177" s="2">
        <v>40551</v>
      </c>
      <c r="C177" s="12">
        <v>1</v>
      </c>
      <c r="D177" s="12">
        <v>14</v>
      </c>
      <c r="E177" t="b">
        <v>0</v>
      </c>
      <c r="F177" s="12">
        <v>6</v>
      </c>
      <c r="G177" s="12">
        <v>1</v>
      </c>
      <c r="H177" s="9">
        <v>0.2</v>
      </c>
      <c r="I177" t="s">
        <v>12</v>
      </c>
      <c r="J177" t="s">
        <v>20</v>
      </c>
      <c r="K177" t="s">
        <v>14</v>
      </c>
      <c r="L177" t="s">
        <v>15</v>
      </c>
    </row>
    <row r="178" spans="1:12" x14ac:dyDescent="0.3">
      <c r="A178" s="12">
        <v>177</v>
      </c>
      <c r="B178" s="2">
        <v>40551</v>
      </c>
      <c r="C178" s="12">
        <v>1</v>
      </c>
      <c r="D178" s="12">
        <v>15</v>
      </c>
      <c r="E178" t="b">
        <v>0</v>
      </c>
      <c r="F178" s="12">
        <v>6</v>
      </c>
      <c r="G178" s="12">
        <v>1</v>
      </c>
      <c r="H178" s="9">
        <v>0.2</v>
      </c>
      <c r="I178" t="s">
        <v>12</v>
      </c>
      <c r="J178" t="s">
        <v>20</v>
      </c>
      <c r="K178" t="s">
        <v>14</v>
      </c>
      <c r="L178" t="s">
        <v>15</v>
      </c>
    </row>
    <row r="179" spans="1:12" x14ac:dyDescent="0.3">
      <c r="A179" s="12">
        <v>178</v>
      </c>
      <c r="B179" s="2">
        <v>40551</v>
      </c>
      <c r="C179" s="12">
        <v>1</v>
      </c>
      <c r="D179" s="12">
        <v>16</v>
      </c>
      <c r="E179" t="b">
        <v>0</v>
      </c>
      <c r="F179" s="12">
        <v>6</v>
      </c>
      <c r="G179" s="12">
        <v>1</v>
      </c>
      <c r="H179" s="9">
        <v>0.18</v>
      </c>
      <c r="I179" t="s">
        <v>12</v>
      </c>
      <c r="J179" t="s">
        <v>20</v>
      </c>
      <c r="K179" t="s">
        <v>14</v>
      </c>
      <c r="L179" t="s">
        <v>15</v>
      </c>
    </row>
    <row r="180" spans="1:12" x14ac:dyDescent="0.3">
      <c r="A180" s="12">
        <v>179</v>
      </c>
      <c r="B180" s="2">
        <v>40551</v>
      </c>
      <c r="C180" s="12">
        <v>1</v>
      </c>
      <c r="D180" s="12">
        <v>17</v>
      </c>
      <c r="E180" t="b">
        <v>0</v>
      </c>
      <c r="F180" s="12">
        <v>6</v>
      </c>
      <c r="G180" s="12">
        <v>1</v>
      </c>
      <c r="H180" s="9">
        <v>0.16</v>
      </c>
      <c r="I180" t="s">
        <v>12</v>
      </c>
      <c r="J180" t="s">
        <v>22</v>
      </c>
      <c r="K180" t="s">
        <v>14</v>
      </c>
      <c r="L180" t="s">
        <v>15</v>
      </c>
    </row>
    <row r="181" spans="1:12" x14ac:dyDescent="0.3">
      <c r="A181" s="12">
        <v>180</v>
      </c>
      <c r="B181" s="2">
        <v>40551</v>
      </c>
      <c r="C181" s="12">
        <v>1</v>
      </c>
      <c r="D181" s="12">
        <v>18</v>
      </c>
      <c r="E181" t="b">
        <v>0</v>
      </c>
      <c r="F181" s="12">
        <v>6</v>
      </c>
      <c r="G181" s="12">
        <v>1</v>
      </c>
      <c r="H181" s="9">
        <v>0.14000000000000001</v>
      </c>
      <c r="I181" t="s">
        <v>12</v>
      </c>
      <c r="J181" t="s">
        <v>22</v>
      </c>
      <c r="K181" t="s">
        <v>25</v>
      </c>
      <c r="L181" t="s">
        <v>15</v>
      </c>
    </row>
    <row r="182" spans="1:12" x14ac:dyDescent="0.3">
      <c r="A182" s="12">
        <v>181</v>
      </c>
      <c r="B182" s="2">
        <v>40551</v>
      </c>
      <c r="C182" s="12">
        <v>1</v>
      </c>
      <c r="D182" s="12">
        <v>19</v>
      </c>
      <c r="E182" t="b">
        <v>0</v>
      </c>
      <c r="F182" s="12">
        <v>6</v>
      </c>
      <c r="G182" s="12">
        <v>1</v>
      </c>
      <c r="H182" s="9">
        <v>0.14000000000000001</v>
      </c>
      <c r="I182" t="s">
        <v>12</v>
      </c>
      <c r="J182" t="s">
        <v>22</v>
      </c>
      <c r="K182" t="s">
        <v>25</v>
      </c>
      <c r="L182" t="s">
        <v>15</v>
      </c>
    </row>
    <row r="183" spans="1:12" x14ac:dyDescent="0.3">
      <c r="A183" s="12">
        <v>182</v>
      </c>
      <c r="B183" s="2">
        <v>40551</v>
      </c>
      <c r="C183" s="12">
        <v>1</v>
      </c>
      <c r="D183" s="12">
        <v>20</v>
      </c>
      <c r="E183" t="b">
        <v>0</v>
      </c>
      <c r="F183" s="12">
        <v>6</v>
      </c>
      <c r="G183" s="12">
        <v>1</v>
      </c>
      <c r="H183" s="9">
        <v>0.12</v>
      </c>
      <c r="I183" t="s">
        <v>12</v>
      </c>
      <c r="J183" t="s">
        <v>22</v>
      </c>
      <c r="K183" t="s">
        <v>25</v>
      </c>
      <c r="L183" t="s">
        <v>15</v>
      </c>
    </row>
    <row r="184" spans="1:12" x14ac:dyDescent="0.3">
      <c r="A184" s="12">
        <v>183</v>
      </c>
      <c r="B184" s="2">
        <v>40551</v>
      </c>
      <c r="C184" s="12">
        <v>1</v>
      </c>
      <c r="D184" s="12">
        <v>21</v>
      </c>
      <c r="E184" t="b">
        <v>0</v>
      </c>
      <c r="F184" s="12">
        <v>6</v>
      </c>
      <c r="G184" s="12">
        <v>1</v>
      </c>
      <c r="H184" s="9">
        <v>0.12</v>
      </c>
      <c r="I184" t="s">
        <v>12</v>
      </c>
      <c r="J184" t="s">
        <v>13</v>
      </c>
      <c r="K184" t="s">
        <v>25</v>
      </c>
      <c r="L184" t="s">
        <v>15</v>
      </c>
    </row>
    <row r="185" spans="1:12" x14ac:dyDescent="0.3">
      <c r="A185" s="12">
        <v>184</v>
      </c>
      <c r="B185" s="2">
        <v>40551</v>
      </c>
      <c r="C185" s="12">
        <v>1</v>
      </c>
      <c r="D185" s="12">
        <v>22</v>
      </c>
      <c r="E185" t="b">
        <v>0</v>
      </c>
      <c r="F185" s="12">
        <v>6</v>
      </c>
      <c r="G185" s="12">
        <v>1</v>
      </c>
      <c r="H185" s="9">
        <v>0.12</v>
      </c>
      <c r="I185" t="s">
        <v>12</v>
      </c>
      <c r="J185" t="s">
        <v>13</v>
      </c>
      <c r="K185" t="s">
        <v>25</v>
      </c>
      <c r="L185" t="s">
        <v>15</v>
      </c>
    </row>
    <row r="186" spans="1:12" x14ac:dyDescent="0.3">
      <c r="A186" s="12">
        <v>185</v>
      </c>
      <c r="B186" s="2">
        <v>40551</v>
      </c>
      <c r="C186" s="12">
        <v>1</v>
      </c>
      <c r="D186" s="12">
        <v>23</v>
      </c>
      <c r="E186" t="b">
        <v>0</v>
      </c>
      <c r="F186" s="12">
        <v>6</v>
      </c>
      <c r="G186" s="12">
        <v>1</v>
      </c>
      <c r="H186" s="9">
        <v>0.1</v>
      </c>
      <c r="I186" t="s">
        <v>12</v>
      </c>
      <c r="J186" t="s">
        <v>13</v>
      </c>
      <c r="K186" t="s">
        <v>25</v>
      </c>
      <c r="L186" t="s">
        <v>15</v>
      </c>
    </row>
    <row r="187" spans="1:12" x14ac:dyDescent="0.3">
      <c r="A187" s="12">
        <v>186</v>
      </c>
      <c r="B187" s="2">
        <v>40552</v>
      </c>
      <c r="C187" s="12">
        <v>1</v>
      </c>
      <c r="D187" s="12">
        <v>0</v>
      </c>
      <c r="E187" t="b">
        <v>0</v>
      </c>
      <c r="F187" s="12">
        <v>0</v>
      </c>
      <c r="G187" s="12">
        <v>1</v>
      </c>
      <c r="H187" s="9">
        <v>0.1</v>
      </c>
      <c r="I187" t="s">
        <v>12</v>
      </c>
      <c r="J187" t="s">
        <v>13</v>
      </c>
      <c r="K187" t="s">
        <v>25</v>
      </c>
      <c r="L187" t="s">
        <v>15</v>
      </c>
    </row>
    <row r="188" spans="1:12" x14ac:dyDescent="0.3">
      <c r="A188" s="12">
        <v>187</v>
      </c>
      <c r="B188" s="2">
        <v>40552</v>
      </c>
      <c r="C188" s="12">
        <v>1</v>
      </c>
      <c r="D188" s="12">
        <v>1</v>
      </c>
      <c r="E188" t="b">
        <v>0</v>
      </c>
      <c r="F188" s="12">
        <v>0</v>
      </c>
      <c r="G188" s="12">
        <v>1</v>
      </c>
      <c r="H188" s="9">
        <v>0.1</v>
      </c>
      <c r="I188" t="s">
        <v>12</v>
      </c>
      <c r="J188" t="s">
        <v>13</v>
      </c>
      <c r="K188" t="s">
        <v>25</v>
      </c>
      <c r="L188" t="s">
        <v>15</v>
      </c>
    </row>
    <row r="189" spans="1:12" x14ac:dyDescent="0.3">
      <c r="A189" s="12">
        <v>188</v>
      </c>
      <c r="B189" s="2">
        <v>40552</v>
      </c>
      <c r="C189" s="12">
        <v>1</v>
      </c>
      <c r="D189" s="12">
        <v>2</v>
      </c>
      <c r="E189" t="b">
        <v>0</v>
      </c>
      <c r="F189" s="12">
        <v>0</v>
      </c>
      <c r="G189" s="12">
        <v>1</v>
      </c>
      <c r="H189" s="9">
        <v>0.1</v>
      </c>
      <c r="I189" t="s">
        <v>12</v>
      </c>
      <c r="J189" t="s">
        <v>13</v>
      </c>
      <c r="K189" t="s">
        <v>25</v>
      </c>
      <c r="L189" t="s">
        <v>15</v>
      </c>
    </row>
    <row r="190" spans="1:12" x14ac:dyDescent="0.3">
      <c r="A190" s="12">
        <v>189</v>
      </c>
      <c r="B190" s="2">
        <v>40552</v>
      </c>
      <c r="C190" s="12">
        <v>1</v>
      </c>
      <c r="D190" s="12">
        <v>3</v>
      </c>
      <c r="E190" t="b">
        <v>0</v>
      </c>
      <c r="F190" s="12">
        <v>0</v>
      </c>
      <c r="G190" s="12">
        <v>1</v>
      </c>
      <c r="H190" s="9">
        <v>0.1</v>
      </c>
      <c r="I190" t="s">
        <v>12</v>
      </c>
      <c r="J190" t="s">
        <v>13</v>
      </c>
      <c r="K190" t="s">
        <v>25</v>
      </c>
      <c r="L190" t="s">
        <v>15</v>
      </c>
    </row>
    <row r="191" spans="1:12" x14ac:dyDescent="0.3">
      <c r="A191" s="12">
        <v>190</v>
      </c>
      <c r="B191" s="2">
        <v>40552</v>
      </c>
      <c r="C191" s="12">
        <v>1</v>
      </c>
      <c r="D191" s="12">
        <v>4</v>
      </c>
      <c r="E191" t="b">
        <v>0</v>
      </c>
      <c r="F191" s="12">
        <v>0</v>
      </c>
      <c r="G191" s="12">
        <v>1</v>
      </c>
      <c r="H191" s="9">
        <v>0.08</v>
      </c>
      <c r="I191" t="s">
        <v>12</v>
      </c>
      <c r="J191" t="s">
        <v>13</v>
      </c>
      <c r="K191" t="s">
        <v>25</v>
      </c>
      <c r="L191" t="s">
        <v>15</v>
      </c>
    </row>
    <row r="192" spans="1:12" x14ac:dyDescent="0.3">
      <c r="A192" s="12">
        <v>191</v>
      </c>
      <c r="B192" s="2">
        <v>40552</v>
      </c>
      <c r="C192" s="12">
        <v>1</v>
      </c>
      <c r="D192" s="12">
        <v>5</v>
      </c>
      <c r="E192" t="b">
        <v>0</v>
      </c>
      <c r="F192" s="12">
        <v>0</v>
      </c>
      <c r="G192" s="12">
        <v>1</v>
      </c>
      <c r="H192" s="9">
        <v>0.08</v>
      </c>
      <c r="I192" t="s">
        <v>12</v>
      </c>
      <c r="J192" t="s">
        <v>13</v>
      </c>
      <c r="K192" t="s">
        <v>25</v>
      </c>
      <c r="L192" t="s">
        <v>15</v>
      </c>
    </row>
    <row r="193" spans="1:12" x14ac:dyDescent="0.3">
      <c r="A193" s="12">
        <v>192</v>
      </c>
      <c r="B193" s="2">
        <v>40552</v>
      </c>
      <c r="C193" s="12">
        <v>1</v>
      </c>
      <c r="D193" s="12">
        <v>6</v>
      </c>
      <c r="E193" t="b">
        <v>0</v>
      </c>
      <c r="F193" s="12">
        <v>0</v>
      </c>
      <c r="G193" s="12">
        <v>1</v>
      </c>
      <c r="H193" s="9">
        <v>0.1</v>
      </c>
      <c r="I193" t="s">
        <v>12</v>
      </c>
      <c r="J193" t="s">
        <v>17</v>
      </c>
      <c r="K193" t="s">
        <v>25</v>
      </c>
      <c r="L193" t="s">
        <v>15</v>
      </c>
    </row>
    <row r="194" spans="1:12" x14ac:dyDescent="0.3">
      <c r="A194" s="12">
        <v>193</v>
      </c>
      <c r="B194" s="2">
        <v>40552</v>
      </c>
      <c r="C194" s="12">
        <v>1</v>
      </c>
      <c r="D194" s="12">
        <v>7</v>
      </c>
      <c r="E194" t="b">
        <v>0</v>
      </c>
      <c r="F194" s="12">
        <v>0</v>
      </c>
      <c r="G194" s="12">
        <v>1</v>
      </c>
      <c r="H194" s="9">
        <v>0.08</v>
      </c>
      <c r="I194" t="s">
        <v>12</v>
      </c>
      <c r="J194" t="s">
        <v>17</v>
      </c>
      <c r="K194" t="s">
        <v>25</v>
      </c>
      <c r="L194" t="s">
        <v>15</v>
      </c>
    </row>
    <row r="195" spans="1:12" x14ac:dyDescent="0.3">
      <c r="A195" s="12">
        <v>194</v>
      </c>
      <c r="B195" s="2">
        <v>40552</v>
      </c>
      <c r="C195" s="12">
        <v>1</v>
      </c>
      <c r="D195" s="12">
        <v>8</v>
      </c>
      <c r="E195" t="b">
        <v>0</v>
      </c>
      <c r="F195" s="12">
        <v>0</v>
      </c>
      <c r="G195" s="12">
        <v>1</v>
      </c>
      <c r="H195" s="9">
        <v>0.1</v>
      </c>
      <c r="I195" t="s">
        <v>12</v>
      </c>
      <c r="J195" t="s">
        <v>17</v>
      </c>
      <c r="K195" t="s">
        <v>25</v>
      </c>
      <c r="L195" t="s">
        <v>15</v>
      </c>
    </row>
    <row r="196" spans="1:12" x14ac:dyDescent="0.3">
      <c r="A196" s="12">
        <v>195</v>
      </c>
      <c r="B196" s="2">
        <v>40552</v>
      </c>
      <c r="C196" s="12">
        <v>1</v>
      </c>
      <c r="D196" s="12">
        <v>9</v>
      </c>
      <c r="E196" t="b">
        <v>0</v>
      </c>
      <c r="F196" s="12">
        <v>0</v>
      </c>
      <c r="G196" s="12">
        <v>1</v>
      </c>
      <c r="H196" s="9">
        <v>0.12</v>
      </c>
      <c r="I196" t="s">
        <v>12</v>
      </c>
      <c r="J196" t="s">
        <v>17</v>
      </c>
      <c r="K196" t="s">
        <v>25</v>
      </c>
      <c r="L196" t="s">
        <v>15</v>
      </c>
    </row>
    <row r="197" spans="1:12" x14ac:dyDescent="0.3">
      <c r="A197" s="12">
        <v>196</v>
      </c>
      <c r="B197" s="2">
        <v>40552</v>
      </c>
      <c r="C197" s="12">
        <v>1</v>
      </c>
      <c r="D197" s="12">
        <v>10</v>
      </c>
      <c r="E197" t="b">
        <v>0</v>
      </c>
      <c r="F197" s="12">
        <v>0</v>
      </c>
      <c r="G197" s="12">
        <v>1</v>
      </c>
      <c r="H197" s="9">
        <v>0.14000000000000001</v>
      </c>
      <c r="I197" t="s">
        <v>12</v>
      </c>
      <c r="J197" t="s">
        <v>17</v>
      </c>
      <c r="K197" t="s">
        <v>25</v>
      </c>
      <c r="L197" t="s">
        <v>15</v>
      </c>
    </row>
    <row r="198" spans="1:12" x14ac:dyDescent="0.3">
      <c r="A198" s="12">
        <v>197</v>
      </c>
      <c r="B198" s="2">
        <v>40552</v>
      </c>
      <c r="C198" s="12">
        <v>1</v>
      </c>
      <c r="D198" s="12">
        <v>11</v>
      </c>
      <c r="E198" t="b">
        <v>0</v>
      </c>
      <c r="F198" s="12">
        <v>0</v>
      </c>
      <c r="G198" s="12">
        <v>1</v>
      </c>
      <c r="H198" s="9">
        <v>0.16</v>
      </c>
      <c r="I198" t="s">
        <v>12</v>
      </c>
      <c r="J198" t="s">
        <v>17</v>
      </c>
      <c r="K198" t="s">
        <v>14</v>
      </c>
      <c r="L198" t="s">
        <v>15</v>
      </c>
    </row>
    <row r="199" spans="1:12" x14ac:dyDescent="0.3">
      <c r="A199" s="12">
        <v>198</v>
      </c>
      <c r="B199" s="2">
        <v>40552</v>
      </c>
      <c r="C199" s="12">
        <v>1</v>
      </c>
      <c r="D199" s="12">
        <v>12</v>
      </c>
      <c r="E199" t="b">
        <v>0</v>
      </c>
      <c r="F199" s="12">
        <v>0</v>
      </c>
      <c r="G199" s="12">
        <v>1</v>
      </c>
      <c r="H199" s="9">
        <v>0.18</v>
      </c>
      <c r="I199" t="s">
        <v>12</v>
      </c>
      <c r="J199" t="s">
        <v>20</v>
      </c>
      <c r="K199" t="s">
        <v>14</v>
      </c>
      <c r="L199" t="s">
        <v>15</v>
      </c>
    </row>
    <row r="200" spans="1:12" x14ac:dyDescent="0.3">
      <c r="A200" s="12">
        <v>199</v>
      </c>
      <c r="B200" s="2">
        <v>40552</v>
      </c>
      <c r="C200" s="12">
        <v>1</v>
      </c>
      <c r="D200" s="12">
        <v>13</v>
      </c>
      <c r="E200" t="b">
        <v>0</v>
      </c>
      <c r="F200" s="12">
        <v>0</v>
      </c>
      <c r="G200" s="12">
        <v>1</v>
      </c>
      <c r="H200" s="9">
        <v>0.2</v>
      </c>
      <c r="I200" t="s">
        <v>12</v>
      </c>
      <c r="J200" t="s">
        <v>20</v>
      </c>
      <c r="K200" t="s">
        <v>14</v>
      </c>
      <c r="L200" t="s">
        <v>15</v>
      </c>
    </row>
    <row r="201" spans="1:12" x14ac:dyDescent="0.3">
      <c r="A201" s="12">
        <v>200</v>
      </c>
      <c r="B201" s="2">
        <v>40552</v>
      </c>
      <c r="C201" s="12">
        <v>1</v>
      </c>
      <c r="D201" s="12">
        <v>14</v>
      </c>
      <c r="E201" t="b">
        <v>0</v>
      </c>
      <c r="F201" s="12">
        <v>0</v>
      </c>
      <c r="G201" s="12">
        <v>1</v>
      </c>
      <c r="H201" s="9">
        <v>0.22</v>
      </c>
      <c r="I201" t="s">
        <v>12</v>
      </c>
      <c r="J201" t="s">
        <v>20</v>
      </c>
      <c r="K201" t="s">
        <v>14</v>
      </c>
      <c r="L201" t="s">
        <v>15</v>
      </c>
    </row>
    <row r="202" spans="1:12" x14ac:dyDescent="0.3">
      <c r="A202" s="12">
        <v>201</v>
      </c>
      <c r="B202" s="2">
        <v>40552</v>
      </c>
      <c r="C202" s="12">
        <v>1</v>
      </c>
      <c r="D202" s="12">
        <v>15</v>
      </c>
      <c r="E202" t="b">
        <v>0</v>
      </c>
      <c r="F202" s="12">
        <v>0</v>
      </c>
      <c r="G202" s="12">
        <v>1</v>
      </c>
      <c r="H202" s="9">
        <v>0.22</v>
      </c>
      <c r="I202" t="s">
        <v>12</v>
      </c>
      <c r="J202" t="s">
        <v>20</v>
      </c>
      <c r="K202" t="s">
        <v>14</v>
      </c>
      <c r="L202" t="s">
        <v>15</v>
      </c>
    </row>
    <row r="203" spans="1:12" x14ac:dyDescent="0.3">
      <c r="A203" s="12">
        <v>202</v>
      </c>
      <c r="B203" s="2">
        <v>40552</v>
      </c>
      <c r="C203" s="12">
        <v>1</v>
      </c>
      <c r="D203" s="12">
        <v>16</v>
      </c>
      <c r="E203" t="b">
        <v>0</v>
      </c>
      <c r="F203" s="12">
        <v>0</v>
      </c>
      <c r="G203" s="12">
        <v>1</v>
      </c>
      <c r="H203" s="9">
        <v>0.2</v>
      </c>
      <c r="I203" t="s">
        <v>12</v>
      </c>
      <c r="J203" t="s">
        <v>20</v>
      </c>
      <c r="K203" t="s">
        <v>14</v>
      </c>
      <c r="L203" t="s">
        <v>15</v>
      </c>
    </row>
    <row r="204" spans="1:12" x14ac:dyDescent="0.3">
      <c r="A204" s="12">
        <v>203</v>
      </c>
      <c r="B204" s="2">
        <v>40552</v>
      </c>
      <c r="C204" s="12">
        <v>1</v>
      </c>
      <c r="D204" s="12">
        <v>17</v>
      </c>
      <c r="E204" t="b">
        <v>0</v>
      </c>
      <c r="F204" s="12">
        <v>0</v>
      </c>
      <c r="G204" s="12">
        <v>1</v>
      </c>
      <c r="H204" s="9">
        <v>0.18</v>
      </c>
      <c r="I204" t="s">
        <v>12</v>
      </c>
      <c r="J204" t="s">
        <v>22</v>
      </c>
      <c r="K204" t="s">
        <v>14</v>
      </c>
      <c r="L204" t="s">
        <v>15</v>
      </c>
    </row>
    <row r="205" spans="1:12" x14ac:dyDescent="0.3">
      <c r="A205" s="12">
        <v>204</v>
      </c>
      <c r="B205" s="2">
        <v>40552</v>
      </c>
      <c r="C205" s="12">
        <v>1</v>
      </c>
      <c r="D205" s="12">
        <v>18</v>
      </c>
      <c r="E205" t="b">
        <v>0</v>
      </c>
      <c r="F205" s="12">
        <v>0</v>
      </c>
      <c r="G205" s="12">
        <v>1</v>
      </c>
      <c r="H205" s="9">
        <v>0.16</v>
      </c>
      <c r="I205" t="s">
        <v>12</v>
      </c>
      <c r="J205" t="s">
        <v>22</v>
      </c>
      <c r="K205" t="s">
        <v>14</v>
      </c>
      <c r="L205" t="s">
        <v>15</v>
      </c>
    </row>
    <row r="206" spans="1:12" x14ac:dyDescent="0.3">
      <c r="A206" s="12">
        <v>205</v>
      </c>
      <c r="B206" s="2">
        <v>40552</v>
      </c>
      <c r="C206" s="12">
        <v>1</v>
      </c>
      <c r="D206" s="12">
        <v>19</v>
      </c>
      <c r="E206" t="b">
        <v>0</v>
      </c>
      <c r="F206" s="12">
        <v>0</v>
      </c>
      <c r="G206" s="12">
        <v>1</v>
      </c>
      <c r="H206" s="9">
        <v>0.16</v>
      </c>
      <c r="I206" t="s">
        <v>12</v>
      </c>
      <c r="J206" t="s">
        <v>22</v>
      </c>
      <c r="K206" t="s">
        <v>14</v>
      </c>
      <c r="L206" t="s">
        <v>15</v>
      </c>
    </row>
    <row r="207" spans="1:12" x14ac:dyDescent="0.3">
      <c r="A207" s="12">
        <v>206</v>
      </c>
      <c r="B207" s="2">
        <v>40552</v>
      </c>
      <c r="C207" s="12">
        <v>1</v>
      </c>
      <c r="D207" s="12">
        <v>20</v>
      </c>
      <c r="E207" t="b">
        <v>0</v>
      </c>
      <c r="F207" s="12">
        <v>0</v>
      </c>
      <c r="G207" s="12">
        <v>1</v>
      </c>
      <c r="H207" s="9">
        <v>0.14000000000000001</v>
      </c>
      <c r="I207" t="s">
        <v>12</v>
      </c>
      <c r="J207" t="s">
        <v>22</v>
      </c>
      <c r="K207" t="s">
        <v>25</v>
      </c>
      <c r="L207" t="s">
        <v>15</v>
      </c>
    </row>
    <row r="208" spans="1:12" x14ac:dyDescent="0.3">
      <c r="A208" s="12">
        <v>207</v>
      </c>
      <c r="B208" s="2">
        <v>40552</v>
      </c>
      <c r="C208" s="12">
        <v>1</v>
      </c>
      <c r="D208" s="12">
        <v>21</v>
      </c>
      <c r="E208" t="b">
        <v>0</v>
      </c>
      <c r="F208" s="12">
        <v>0</v>
      </c>
      <c r="G208" s="12">
        <v>1</v>
      </c>
      <c r="H208" s="9">
        <v>0.14000000000000001</v>
      </c>
      <c r="I208" t="s">
        <v>12</v>
      </c>
      <c r="J208" t="s">
        <v>13</v>
      </c>
      <c r="K208" t="s">
        <v>25</v>
      </c>
      <c r="L208" t="s">
        <v>15</v>
      </c>
    </row>
    <row r="209" spans="1:12" x14ac:dyDescent="0.3">
      <c r="A209" s="12">
        <v>208</v>
      </c>
      <c r="B209" s="2">
        <v>40552</v>
      </c>
      <c r="C209" s="12">
        <v>1</v>
      </c>
      <c r="D209" s="12">
        <v>22</v>
      </c>
      <c r="E209" t="b">
        <v>0</v>
      </c>
      <c r="F209" s="12">
        <v>0</v>
      </c>
      <c r="G209" s="12">
        <v>1</v>
      </c>
      <c r="H209" s="9">
        <v>0.14000000000000001</v>
      </c>
      <c r="I209" t="s">
        <v>12</v>
      </c>
      <c r="J209" t="s">
        <v>13</v>
      </c>
      <c r="K209" t="s">
        <v>25</v>
      </c>
      <c r="L209" t="s">
        <v>15</v>
      </c>
    </row>
    <row r="210" spans="1:12" x14ac:dyDescent="0.3">
      <c r="A210" s="12">
        <v>209</v>
      </c>
      <c r="B210" s="2">
        <v>40552</v>
      </c>
      <c r="C210" s="12">
        <v>1</v>
      </c>
      <c r="D210" s="12">
        <v>23</v>
      </c>
      <c r="E210" t="b">
        <v>0</v>
      </c>
      <c r="F210" s="12">
        <v>0</v>
      </c>
      <c r="G210" s="12">
        <v>1</v>
      </c>
      <c r="H210" s="9">
        <v>0.12</v>
      </c>
      <c r="I210" t="s">
        <v>12</v>
      </c>
      <c r="J210" t="s">
        <v>13</v>
      </c>
      <c r="K210" t="s">
        <v>25</v>
      </c>
      <c r="L210" t="s">
        <v>15</v>
      </c>
    </row>
    <row r="211" spans="1:12" x14ac:dyDescent="0.3">
      <c r="A211" s="12">
        <v>210</v>
      </c>
      <c r="B211" s="2">
        <v>40553</v>
      </c>
      <c r="C211" s="12">
        <v>1</v>
      </c>
      <c r="D211" s="12">
        <v>0</v>
      </c>
      <c r="E211" t="b">
        <v>0</v>
      </c>
      <c r="F211" s="12">
        <v>1</v>
      </c>
      <c r="G211" s="12">
        <v>1</v>
      </c>
      <c r="H211" s="9">
        <v>0.12</v>
      </c>
      <c r="I211" t="s">
        <v>12</v>
      </c>
      <c r="J211" t="s">
        <v>13</v>
      </c>
      <c r="K211" t="s">
        <v>25</v>
      </c>
      <c r="L211" t="s">
        <v>24</v>
      </c>
    </row>
    <row r="212" spans="1:12" x14ac:dyDescent="0.3">
      <c r="A212" s="12">
        <v>211</v>
      </c>
      <c r="B212" s="2">
        <v>40553</v>
      </c>
      <c r="C212" s="12">
        <v>1</v>
      </c>
      <c r="D212" s="12">
        <v>1</v>
      </c>
      <c r="E212" t="b">
        <v>0</v>
      </c>
      <c r="F212" s="12">
        <v>1</v>
      </c>
      <c r="G212" s="12">
        <v>1</v>
      </c>
      <c r="H212" s="9">
        <v>0.12</v>
      </c>
      <c r="I212" t="s">
        <v>12</v>
      </c>
      <c r="J212" t="s">
        <v>13</v>
      </c>
      <c r="K212" t="s">
        <v>25</v>
      </c>
      <c r="L212" t="s">
        <v>24</v>
      </c>
    </row>
    <row r="213" spans="1:12" x14ac:dyDescent="0.3">
      <c r="A213" s="12">
        <v>212</v>
      </c>
      <c r="B213" s="2">
        <v>40553</v>
      </c>
      <c r="C213" s="12">
        <v>1</v>
      </c>
      <c r="D213" s="12">
        <v>2</v>
      </c>
      <c r="E213" t="b">
        <v>0</v>
      </c>
      <c r="F213" s="12">
        <v>1</v>
      </c>
      <c r="G213" s="12">
        <v>1</v>
      </c>
      <c r="H213" s="9">
        <v>0.12</v>
      </c>
      <c r="I213" t="s">
        <v>12</v>
      </c>
      <c r="J213" t="s">
        <v>13</v>
      </c>
      <c r="K213" t="s">
        <v>25</v>
      </c>
      <c r="L213" t="s">
        <v>24</v>
      </c>
    </row>
    <row r="214" spans="1:12" x14ac:dyDescent="0.3">
      <c r="A214" s="12">
        <v>213</v>
      </c>
      <c r="B214" s="2">
        <v>40553</v>
      </c>
      <c r="C214" s="12">
        <v>1</v>
      </c>
      <c r="D214" s="12">
        <v>3</v>
      </c>
      <c r="E214" t="b">
        <v>0</v>
      </c>
      <c r="F214" s="12">
        <v>1</v>
      </c>
      <c r="G214" s="12">
        <v>1</v>
      </c>
      <c r="H214" s="9">
        <v>0.12</v>
      </c>
      <c r="I214" t="s">
        <v>12</v>
      </c>
      <c r="J214" t="s">
        <v>13</v>
      </c>
      <c r="K214" t="s">
        <v>25</v>
      </c>
      <c r="L214" t="s">
        <v>24</v>
      </c>
    </row>
    <row r="215" spans="1:12" x14ac:dyDescent="0.3">
      <c r="A215" s="12">
        <v>214</v>
      </c>
      <c r="B215" s="2">
        <v>40553</v>
      </c>
      <c r="C215" s="12">
        <v>1</v>
      </c>
      <c r="D215" s="12">
        <v>4</v>
      </c>
      <c r="E215" t="b">
        <v>0</v>
      </c>
      <c r="F215" s="12">
        <v>1</v>
      </c>
      <c r="G215" s="12">
        <v>1</v>
      </c>
      <c r="H215" s="9">
        <v>0.1</v>
      </c>
      <c r="I215" t="s">
        <v>12</v>
      </c>
      <c r="J215" t="s">
        <v>13</v>
      </c>
      <c r="K215" t="s">
        <v>25</v>
      </c>
      <c r="L215" t="s">
        <v>24</v>
      </c>
    </row>
    <row r="216" spans="1:12" x14ac:dyDescent="0.3">
      <c r="A216" s="12">
        <v>215</v>
      </c>
      <c r="B216" s="2">
        <v>40553</v>
      </c>
      <c r="C216" s="12">
        <v>1</v>
      </c>
      <c r="D216" s="12">
        <v>5</v>
      </c>
      <c r="E216" t="b">
        <v>0</v>
      </c>
      <c r="F216" s="12">
        <v>1</v>
      </c>
      <c r="G216" s="12">
        <v>1</v>
      </c>
      <c r="H216" s="9">
        <v>0.1</v>
      </c>
      <c r="I216" t="s">
        <v>12</v>
      </c>
      <c r="J216" t="s">
        <v>13</v>
      </c>
      <c r="K216" t="s">
        <v>25</v>
      </c>
      <c r="L216" t="s">
        <v>24</v>
      </c>
    </row>
    <row r="217" spans="1:12" x14ac:dyDescent="0.3">
      <c r="A217" s="12">
        <v>216</v>
      </c>
      <c r="B217" s="2">
        <v>40553</v>
      </c>
      <c r="C217" s="12">
        <v>1</v>
      </c>
      <c r="D217" s="12">
        <v>6</v>
      </c>
      <c r="E217" t="b">
        <v>0</v>
      </c>
      <c r="F217" s="12">
        <v>1</v>
      </c>
      <c r="G217" s="12">
        <v>1</v>
      </c>
      <c r="H217" s="9">
        <v>0.12</v>
      </c>
      <c r="I217" t="s">
        <v>12</v>
      </c>
      <c r="J217" t="s">
        <v>17</v>
      </c>
      <c r="K217" t="s">
        <v>25</v>
      </c>
      <c r="L217" t="s">
        <v>24</v>
      </c>
    </row>
    <row r="218" spans="1:12" x14ac:dyDescent="0.3">
      <c r="A218" s="12">
        <v>217</v>
      </c>
      <c r="B218" s="2">
        <v>40553</v>
      </c>
      <c r="C218" s="12">
        <v>1</v>
      </c>
      <c r="D218" s="12">
        <v>7</v>
      </c>
      <c r="E218" t="b">
        <v>0</v>
      </c>
      <c r="F218" s="12">
        <v>1</v>
      </c>
      <c r="G218" s="12">
        <v>1</v>
      </c>
      <c r="H218" s="9">
        <v>0.12</v>
      </c>
      <c r="I218" t="s">
        <v>12</v>
      </c>
      <c r="J218" t="s">
        <v>17</v>
      </c>
      <c r="K218" t="s">
        <v>25</v>
      </c>
      <c r="L218" t="s">
        <v>24</v>
      </c>
    </row>
    <row r="219" spans="1:12" x14ac:dyDescent="0.3">
      <c r="A219" s="12">
        <v>218</v>
      </c>
      <c r="B219" s="2">
        <v>40553</v>
      </c>
      <c r="C219" s="12">
        <v>1</v>
      </c>
      <c r="D219" s="12">
        <v>8</v>
      </c>
      <c r="E219" t="b">
        <v>0</v>
      </c>
      <c r="F219" s="12">
        <v>1</v>
      </c>
      <c r="G219" s="12">
        <v>2</v>
      </c>
      <c r="H219" s="9">
        <v>0.12</v>
      </c>
      <c r="I219" t="s">
        <v>16</v>
      </c>
      <c r="J219" t="s">
        <v>17</v>
      </c>
      <c r="K219" t="s">
        <v>25</v>
      </c>
      <c r="L219" t="s">
        <v>24</v>
      </c>
    </row>
    <row r="220" spans="1:12" x14ac:dyDescent="0.3">
      <c r="A220" s="12">
        <v>219</v>
      </c>
      <c r="B220" s="2">
        <v>40553</v>
      </c>
      <c r="C220" s="12">
        <v>1</v>
      </c>
      <c r="D220" s="12">
        <v>9</v>
      </c>
      <c r="E220" t="b">
        <v>0</v>
      </c>
      <c r="F220" s="12">
        <v>1</v>
      </c>
      <c r="G220" s="12">
        <v>2</v>
      </c>
      <c r="H220" s="9">
        <v>0.14000000000000001</v>
      </c>
      <c r="I220" t="s">
        <v>16</v>
      </c>
      <c r="J220" t="s">
        <v>17</v>
      </c>
      <c r="K220" t="s">
        <v>25</v>
      </c>
      <c r="L220" t="s">
        <v>24</v>
      </c>
    </row>
    <row r="221" spans="1:12" x14ac:dyDescent="0.3">
      <c r="A221" s="12">
        <v>220</v>
      </c>
      <c r="B221" s="2">
        <v>40553</v>
      </c>
      <c r="C221" s="12">
        <v>1</v>
      </c>
      <c r="D221" s="12">
        <v>10</v>
      </c>
      <c r="E221" t="b">
        <v>0</v>
      </c>
      <c r="F221" s="12">
        <v>1</v>
      </c>
      <c r="G221" s="12">
        <v>2</v>
      </c>
      <c r="H221" s="9">
        <v>0.14000000000000001</v>
      </c>
      <c r="I221" t="s">
        <v>16</v>
      </c>
      <c r="J221" t="s">
        <v>17</v>
      </c>
      <c r="K221" t="s">
        <v>25</v>
      </c>
      <c r="L221" t="s">
        <v>24</v>
      </c>
    </row>
    <row r="222" spans="1:12" x14ac:dyDescent="0.3">
      <c r="A222" s="12">
        <v>221</v>
      </c>
      <c r="B222" s="2">
        <v>40553</v>
      </c>
      <c r="C222" s="12">
        <v>1</v>
      </c>
      <c r="D222" s="12">
        <v>11</v>
      </c>
      <c r="E222" t="b">
        <v>0</v>
      </c>
      <c r="F222" s="12">
        <v>1</v>
      </c>
      <c r="G222" s="12">
        <v>2</v>
      </c>
      <c r="H222" s="9">
        <v>0.16</v>
      </c>
      <c r="I222" t="s">
        <v>16</v>
      </c>
      <c r="J222" t="s">
        <v>17</v>
      </c>
      <c r="K222" t="s">
        <v>14</v>
      </c>
      <c r="L222" t="s">
        <v>24</v>
      </c>
    </row>
    <row r="223" spans="1:12" x14ac:dyDescent="0.3">
      <c r="A223" s="12">
        <v>222</v>
      </c>
      <c r="B223" s="2">
        <v>40553</v>
      </c>
      <c r="C223" s="12">
        <v>1</v>
      </c>
      <c r="D223" s="12">
        <v>12</v>
      </c>
      <c r="E223" t="b">
        <v>0</v>
      </c>
      <c r="F223" s="12">
        <v>1</v>
      </c>
      <c r="G223" s="12">
        <v>2</v>
      </c>
      <c r="H223" s="9">
        <v>0.2</v>
      </c>
      <c r="I223" t="s">
        <v>16</v>
      </c>
      <c r="J223" t="s">
        <v>20</v>
      </c>
      <c r="K223" t="s">
        <v>14</v>
      </c>
      <c r="L223" t="s">
        <v>24</v>
      </c>
    </row>
    <row r="224" spans="1:12" x14ac:dyDescent="0.3">
      <c r="A224" s="12">
        <v>223</v>
      </c>
      <c r="B224" s="2">
        <v>40553</v>
      </c>
      <c r="C224" s="12">
        <v>1</v>
      </c>
      <c r="D224" s="12">
        <v>13</v>
      </c>
      <c r="E224" t="b">
        <v>0</v>
      </c>
      <c r="F224" s="12">
        <v>1</v>
      </c>
      <c r="G224" s="12">
        <v>2</v>
      </c>
      <c r="H224" s="9">
        <v>0.2</v>
      </c>
      <c r="I224" t="s">
        <v>16</v>
      </c>
      <c r="J224" t="s">
        <v>20</v>
      </c>
      <c r="K224" t="s">
        <v>14</v>
      </c>
      <c r="L224" t="s">
        <v>24</v>
      </c>
    </row>
    <row r="225" spans="1:12" x14ac:dyDescent="0.3">
      <c r="A225" s="12">
        <v>224</v>
      </c>
      <c r="B225" s="2">
        <v>40553</v>
      </c>
      <c r="C225" s="12">
        <v>1</v>
      </c>
      <c r="D225" s="12">
        <v>14</v>
      </c>
      <c r="E225" t="b">
        <v>0</v>
      </c>
      <c r="F225" s="12">
        <v>1</v>
      </c>
      <c r="G225" s="12">
        <v>2</v>
      </c>
      <c r="H225" s="9">
        <v>0.2</v>
      </c>
      <c r="I225" t="s">
        <v>16</v>
      </c>
      <c r="J225" t="s">
        <v>20</v>
      </c>
      <c r="K225" t="s">
        <v>14</v>
      </c>
      <c r="L225" t="s">
        <v>24</v>
      </c>
    </row>
    <row r="226" spans="1:12" x14ac:dyDescent="0.3">
      <c r="A226" s="12">
        <v>225</v>
      </c>
      <c r="B226" s="2">
        <v>40553</v>
      </c>
      <c r="C226" s="12">
        <v>1</v>
      </c>
      <c r="D226" s="12">
        <v>15</v>
      </c>
      <c r="E226" t="b">
        <v>0</v>
      </c>
      <c r="F226" s="12">
        <v>1</v>
      </c>
      <c r="G226" s="12">
        <v>2</v>
      </c>
      <c r="H226" s="9">
        <v>0.2</v>
      </c>
      <c r="I226" t="s">
        <v>16</v>
      </c>
      <c r="J226" t="s">
        <v>20</v>
      </c>
      <c r="K226" t="s">
        <v>14</v>
      </c>
      <c r="L226" t="s">
        <v>24</v>
      </c>
    </row>
    <row r="227" spans="1:12" x14ac:dyDescent="0.3">
      <c r="A227" s="12">
        <v>226</v>
      </c>
      <c r="B227" s="2">
        <v>40553</v>
      </c>
      <c r="C227" s="12">
        <v>1</v>
      </c>
      <c r="D227" s="12">
        <v>16</v>
      </c>
      <c r="E227" t="b">
        <v>0</v>
      </c>
      <c r="F227" s="12">
        <v>1</v>
      </c>
      <c r="G227" s="12">
        <v>1</v>
      </c>
      <c r="H227" s="9">
        <v>0.2</v>
      </c>
      <c r="I227" t="s">
        <v>12</v>
      </c>
      <c r="J227" t="s">
        <v>20</v>
      </c>
      <c r="K227" t="s">
        <v>14</v>
      </c>
      <c r="L227" t="s">
        <v>24</v>
      </c>
    </row>
    <row r="228" spans="1:12" x14ac:dyDescent="0.3">
      <c r="A228" s="12">
        <v>227</v>
      </c>
      <c r="B228" s="2">
        <v>40553</v>
      </c>
      <c r="C228" s="12">
        <v>1</v>
      </c>
      <c r="D228" s="12">
        <v>17</v>
      </c>
      <c r="E228" t="b">
        <v>0</v>
      </c>
      <c r="F228" s="12">
        <v>1</v>
      </c>
      <c r="G228" s="12">
        <v>1</v>
      </c>
      <c r="H228" s="9">
        <v>0.2</v>
      </c>
      <c r="I228" t="s">
        <v>12</v>
      </c>
      <c r="J228" t="s">
        <v>22</v>
      </c>
      <c r="K228" t="s">
        <v>14</v>
      </c>
      <c r="L228" t="s">
        <v>24</v>
      </c>
    </row>
    <row r="229" spans="1:12" x14ac:dyDescent="0.3">
      <c r="A229" s="12">
        <v>228</v>
      </c>
      <c r="B229" s="2">
        <v>40553</v>
      </c>
      <c r="C229" s="12">
        <v>1</v>
      </c>
      <c r="D229" s="12">
        <v>18</v>
      </c>
      <c r="E229" t="b">
        <v>0</v>
      </c>
      <c r="F229" s="12">
        <v>1</v>
      </c>
      <c r="G229" s="12">
        <v>1</v>
      </c>
      <c r="H229" s="9">
        <v>0.2</v>
      </c>
      <c r="I229" t="s">
        <v>12</v>
      </c>
      <c r="J229" t="s">
        <v>22</v>
      </c>
      <c r="K229" t="s">
        <v>14</v>
      </c>
      <c r="L229" t="s">
        <v>24</v>
      </c>
    </row>
    <row r="230" spans="1:12" x14ac:dyDescent="0.3">
      <c r="A230" s="12">
        <v>229</v>
      </c>
      <c r="B230" s="2">
        <v>40553</v>
      </c>
      <c r="C230" s="12">
        <v>1</v>
      </c>
      <c r="D230" s="12">
        <v>19</v>
      </c>
      <c r="E230" t="b">
        <v>0</v>
      </c>
      <c r="F230" s="12">
        <v>1</v>
      </c>
      <c r="G230" s="12">
        <v>1</v>
      </c>
      <c r="H230" s="9">
        <v>0.16</v>
      </c>
      <c r="I230" t="s">
        <v>12</v>
      </c>
      <c r="J230" t="s">
        <v>22</v>
      </c>
      <c r="K230" t="s">
        <v>14</v>
      </c>
      <c r="L230" t="s">
        <v>24</v>
      </c>
    </row>
    <row r="231" spans="1:12" x14ac:dyDescent="0.3">
      <c r="A231" s="12">
        <v>230</v>
      </c>
      <c r="B231" s="2">
        <v>40553</v>
      </c>
      <c r="C231" s="12">
        <v>1</v>
      </c>
      <c r="D231" s="12">
        <v>20</v>
      </c>
      <c r="E231" t="b">
        <v>0</v>
      </c>
      <c r="F231" s="12">
        <v>1</v>
      </c>
      <c r="G231" s="12">
        <v>1</v>
      </c>
      <c r="H231" s="9">
        <v>0.16</v>
      </c>
      <c r="I231" t="s">
        <v>12</v>
      </c>
      <c r="J231" t="s">
        <v>22</v>
      </c>
      <c r="K231" t="s">
        <v>14</v>
      </c>
      <c r="L231" t="s">
        <v>24</v>
      </c>
    </row>
    <row r="232" spans="1:12" x14ac:dyDescent="0.3">
      <c r="A232" s="12">
        <v>231</v>
      </c>
      <c r="B232" s="2">
        <v>40553</v>
      </c>
      <c r="C232" s="12">
        <v>1</v>
      </c>
      <c r="D232" s="12">
        <v>21</v>
      </c>
      <c r="E232" t="b">
        <v>0</v>
      </c>
      <c r="F232" s="12">
        <v>1</v>
      </c>
      <c r="G232" s="12">
        <v>1</v>
      </c>
      <c r="H232" s="9">
        <v>0.14000000000000001</v>
      </c>
      <c r="I232" t="s">
        <v>12</v>
      </c>
      <c r="J232" t="s">
        <v>13</v>
      </c>
      <c r="K232" t="s">
        <v>25</v>
      </c>
      <c r="L232" t="s">
        <v>24</v>
      </c>
    </row>
    <row r="233" spans="1:12" x14ac:dyDescent="0.3">
      <c r="A233" s="12">
        <v>232</v>
      </c>
      <c r="B233" s="2">
        <v>40553</v>
      </c>
      <c r="C233" s="12">
        <v>1</v>
      </c>
      <c r="D233" s="12">
        <v>22</v>
      </c>
      <c r="E233" t="b">
        <v>0</v>
      </c>
      <c r="F233" s="12">
        <v>1</v>
      </c>
      <c r="G233" s="12">
        <v>1</v>
      </c>
      <c r="H233" s="9">
        <v>0.14000000000000001</v>
      </c>
      <c r="I233" t="s">
        <v>12</v>
      </c>
      <c r="J233" t="s">
        <v>13</v>
      </c>
      <c r="K233" t="s">
        <v>25</v>
      </c>
      <c r="L233" t="s">
        <v>24</v>
      </c>
    </row>
    <row r="234" spans="1:12" x14ac:dyDescent="0.3">
      <c r="A234" s="12">
        <v>233</v>
      </c>
      <c r="B234" s="2">
        <v>40553</v>
      </c>
      <c r="C234" s="12">
        <v>1</v>
      </c>
      <c r="D234" s="12">
        <v>23</v>
      </c>
      <c r="E234" t="b">
        <v>0</v>
      </c>
      <c r="F234" s="12">
        <v>1</v>
      </c>
      <c r="G234" s="12">
        <v>1</v>
      </c>
      <c r="H234" s="9">
        <v>0.14000000000000001</v>
      </c>
      <c r="I234" t="s">
        <v>12</v>
      </c>
      <c r="J234" t="s">
        <v>13</v>
      </c>
      <c r="K234" t="s">
        <v>25</v>
      </c>
      <c r="L234" t="s">
        <v>24</v>
      </c>
    </row>
    <row r="235" spans="1:12" x14ac:dyDescent="0.3">
      <c r="A235" s="12">
        <v>234</v>
      </c>
      <c r="B235" s="2">
        <v>40554</v>
      </c>
      <c r="C235" s="12">
        <v>1</v>
      </c>
      <c r="D235" s="12">
        <v>0</v>
      </c>
      <c r="E235" t="b">
        <v>0</v>
      </c>
      <c r="F235" s="12">
        <v>2</v>
      </c>
      <c r="G235" s="12">
        <v>1</v>
      </c>
      <c r="H235" s="9">
        <v>0.14000000000000001</v>
      </c>
      <c r="I235" t="s">
        <v>12</v>
      </c>
      <c r="J235" t="s">
        <v>13</v>
      </c>
      <c r="K235" t="s">
        <v>25</v>
      </c>
      <c r="L235" t="s">
        <v>24</v>
      </c>
    </row>
    <row r="236" spans="1:12" x14ac:dyDescent="0.3">
      <c r="A236" s="12">
        <v>235</v>
      </c>
      <c r="B236" s="2">
        <v>40554</v>
      </c>
      <c r="C236" s="12">
        <v>1</v>
      </c>
      <c r="D236" s="12">
        <v>1</v>
      </c>
      <c r="E236" t="b">
        <v>0</v>
      </c>
      <c r="F236" s="12">
        <v>2</v>
      </c>
      <c r="G236" s="12">
        <v>1</v>
      </c>
      <c r="H236" s="9">
        <v>0.14000000000000001</v>
      </c>
      <c r="I236" t="s">
        <v>12</v>
      </c>
      <c r="J236" t="s">
        <v>13</v>
      </c>
      <c r="K236" t="s">
        <v>25</v>
      </c>
      <c r="L236" t="s">
        <v>24</v>
      </c>
    </row>
    <row r="237" spans="1:12" x14ac:dyDescent="0.3">
      <c r="A237" s="12">
        <v>236</v>
      </c>
      <c r="B237" s="2">
        <v>40554</v>
      </c>
      <c r="C237" s="12">
        <v>1</v>
      </c>
      <c r="D237" s="12">
        <v>2</v>
      </c>
      <c r="E237" t="b">
        <v>0</v>
      </c>
      <c r="F237" s="12">
        <v>2</v>
      </c>
      <c r="G237" s="12">
        <v>2</v>
      </c>
      <c r="H237" s="9">
        <v>0.16</v>
      </c>
      <c r="I237" t="s">
        <v>16</v>
      </c>
      <c r="J237" t="s">
        <v>13</v>
      </c>
      <c r="K237" t="s">
        <v>14</v>
      </c>
      <c r="L237" t="s">
        <v>24</v>
      </c>
    </row>
    <row r="238" spans="1:12" x14ac:dyDescent="0.3">
      <c r="A238" s="12">
        <v>237</v>
      </c>
      <c r="B238" s="2">
        <v>40554</v>
      </c>
      <c r="C238" s="12">
        <v>1</v>
      </c>
      <c r="D238" s="12">
        <v>5</v>
      </c>
      <c r="E238" t="b">
        <v>0</v>
      </c>
      <c r="F238" s="12">
        <v>2</v>
      </c>
      <c r="G238" s="12">
        <v>2</v>
      </c>
      <c r="H238" s="9">
        <v>0.16</v>
      </c>
      <c r="I238" t="s">
        <v>16</v>
      </c>
      <c r="J238" t="s">
        <v>13</v>
      </c>
      <c r="K238" t="s">
        <v>14</v>
      </c>
      <c r="L238" t="s">
        <v>24</v>
      </c>
    </row>
    <row r="239" spans="1:12" x14ac:dyDescent="0.3">
      <c r="A239" s="12">
        <v>238</v>
      </c>
      <c r="B239" s="2">
        <v>40554</v>
      </c>
      <c r="C239" s="12">
        <v>1</v>
      </c>
      <c r="D239" s="12">
        <v>6</v>
      </c>
      <c r="E239" t="b">
        <v>0</v>
      </c>
      <c r="F239" s="12">
        <v>2</v>
      </c>
      <c r="G239" s="12">
        <v>2</v>
      </c>
      <c r="H239" s="9">
        <v>0.16</v>
      </c>
      <c r="I239" t="s">
        <v>16</v>
      </c>
      <c r="J239" t="s">
        <v>17</v>
      </c>
      <c r="K239" t="s">
        <v>14</v>
      </c>
      <c r="L239" t="s">
        <v>24</v>
      </c>
    </row>
    <row r="240" spans="1:12" x14ac:dyDescent="0.3">
      <c r="A240" s="12">
        <v>239</v>
      </c>
      <c r="B240" s="2">
        <v>40554</v>
      </c>
      <c r="C240" s="12">
        <v>1</v>
      </c>
      <c r="D240" s="12">
        <v>7</v>
      </c>
      <c r="E240" t="b">
        <v>0</v>
      </c>
      <c r="F240" s="12">
        <v>2</v>
      </c>
      <c r="G240" s="12">
        <v>2</v>
      </c>
      <c r="H240" s="9">
        <v>0.16</v>
      </c>
      <c r="I240" t="s">
        <v>16</v>
      </c>
      <c r="J240" t="s">
        <v>17</v>
      </c>
      <c r="K240" t="s">
        <v>14</v>
      </c>
      <c r="L240" t="s">
        <v>24</v>
      </c>
    </row>
    <row r="241" spans="1:12" x14ac:dyDescent="0.3">
      <c r="A241" s="12">
        <v>240</v>
      </c>
      <c r="B241" s="2">
        <v>40554</v>
      </c>
      <c r="C241" s="12">
        <v>1</v>
      </c>
      <c r="D241" s="12">
        <v>8</v>
      </c>
      <c r="E241" t="b">
        <v>0</v>
      </c>
      <c r="F241" s="12">
        <v>2</v>
      </c>
      <c r="G241" s="12">
        <v>2</v>
      </c>
      <c r="H241" s="9">
        <v>0.18</v>
      </c>
      <c r="I241" t="s">
        <v>16</v>
      </c>
      <c r="J241" t="s">
        <v>17</v>
      </c>
      <c r="K241" t="s">
        <v>14</v>
      </c>
      <c r="L241" t="s">
        <v>24</v>
      </c>
    </row>
    <row r="242" spans="1:12" x14ac:dyDescent="0.3">
      <c r="A242" s="12">
        <v>241</v>
      </c>
      <c r="B242" s="2">
        <v>40554</v>
      </c>
      <c r="C242" s="12">
        <v>1</v>
      </c>
      <c r="D242" s="12">
        <v>9</v>
      </c>
      <c r="E242" t="b">
        <v>0</v>
      </c>
      <c r="F242" s="12">
        <v>2</v>
      </c>
      <c r="G242" s="12">
        <v>2</v>
      </c>
      <c r="H242" s="9">
        <v>0.18</v>
      </c>
      <c r="I242" t="s">
        <v>16</v>
      </c>
      <c r="J242" t="s">
        <v>17</v>
      </c>
      <c r="K242" t="s">
        <v>14</v>
      </c>
      <c r="L242" t="s">
        <v>24</v>
      </c>
    </row>
    <row r="243" spans="1:12" x14ac:dyDescent="0.3">
      <c r="A243" s="12">
        <v>242</v>
      </c>
      <c r="B243" s="2">
        <v>40554</v>
      </c>
      <c r="C243" s="12">
        <v>1</v>
      </c>
      <c r="D243" s="12">
        <v>10</v>
      </c>
      <c r="E243" t="b">
        <v>0</v>
      </c>
      <c r="F243" s="12">
        <v>2</v>
      </c>
      <c r="G243" s="12">
        <v>2</v>
      </c>
      <c r="H243" s="9">
        <v>0.2</v>
      </c>
      <c r="I243" t="s">
        <v>16</v>
      </c>
      <c r="J243" t="s">
        <v>17</v>
      </c>
      <c r="K243" t="s">
        <v>14</v>
      </c>
      <c r="L243" t="s">
        <v>24</v>
      </c>
    </row>
    <row r="244" spans="1:12" x14ac:dyDescent="0.3">
      <c r="A244" s="12">
        <v>243</v>
      </c>
      <c r="B244" s="2">
        <v>40554</v>
      </c>
      <c r="C244" s="12">
        <v>1</v>
      </c>
      <c r="D244" s="12">
        <v>11</v>
      </c>
      <c r="E244" t="b">
        <v>0</v>
      </c>
      <c r="F244" s="12">
        <v>2</v>
      </c>
      <c r="G244" s="12">
        <v>2</v>
      </c>
      <c r="H244" s="9">
        <v>0.2</v>
      </c>
      <c r="I244" t="s">
        <v>16</v>
      </c>
      <c r="J244" t="s">
        <v>17</v>
      </c>
      <c r="K244" t="s">
        <v>14</v>
      </c>
      <c r="L244" t="s">
        <v>24</v>
      </c>
    </row>
    <row r="245" spans="1:12" x14ac:dyDescent="0.3">
      <c r="A245" s="12">
        <v>244</v>
      </c>
      <c r="B245" s="2">
        <v>40554</v>
      </c>
      <c r="C245" s="12">
        <v>1</v>
      </c>
      <c r="D245" s="12">
        <v>12</v>
      </c>
      <c r="E245" t="b">
        <v>0</v>
      </c>
      <c r="F245" s="12">
        <v>2</v>
      </c>
      <c r="G245" s="12">
        <v>2</v>
      </c>
      <c r="H245" s="9">
        <v>0.2</v>
      </c>
      <c r="I245" t="s">
        <v>16</v>
      </c>
      <c r="J245" t="s">
        <v>20</v>
      </c>
      <c r="K245" t="s">
        <v>14</v>
      </c>
      <c r="L245" t="s">
        <v>24</v>
      </c>
    </row>
    <row r="246" spans="1:12" x14ac:dyDescent="0.3">
      <c r="A246" s="12">
        <v>245</v>
      </c>
      <c r="B246" s="2">
        <v>40554</v>
      </c>
      <c r="C246" s="12">
        <v>1</v>
      </c>
      <c r="D246" s="12">
        <v>13</v>
      </c>
      <c r="E246" t="b">
        <v>0</v>
      </c>
      <c r="F246" s="12">
        <v>2</v>
      </c>
      <c r="G246" s="12">
        <v>2</v>
      </c>
      <c r="H246" s="9">
        <v>0.2</v>
      </c>
      <c r="I246" t="s">
        <v>16</v>
      </c>
      <c r="J246" t="s">
        <v>20</v>
      </c>
      <c r="K246" t="s">
        <v>14</v>
      </c>
      <c r="L246" t="s">
        <v>24</v>
      </c>
    </row>
    <row r="247" spans="1:12" x14ac:dyDescent="0.3">
      <c r="A247" s="12">
        <v>246</v>
      </c>
      <c r="B247" s="2">
        <v>40554</v>
      </c>
      <c r="C247" s="12">
        <v>1</v>
      </c>
      <c r="D247" s="12">
        <v>14</v>
      </c>
      <c r="E247" t="b">
        <v>0</v>
      </c>
      <c r="F247" s="12">
        <v>2</v>
      </c>
      <c r="G247" s="12">
        <v>2</v>
      </c>
      <c r="H247" s="9">
        <v>0.2</v>
      </c>
      <c r="I247" t="s">
        <v>16</v>
      </c>
      <c r="J247" t="s">
        <v>20</v>
      </c>
      <c r="K247" t="s">
        <v>14</v>
      </c>
      <c r="L247" t="s">
        <v>24</v>
      </c>
    </row>
    <row r="248" spans="1:12" x14ac:dyDescent="0.3">
      <c r="A248" s="12">
        <v>247</v>
      </c>
      <c r="B248" s="2">
        <v>40554</v>
      </c>
      <c r="C248" s="12">
        <v>1</v>
      </c>
      <c r="D248" s="12">
        <v>15</v>
      </c>
      <c r="E248" t="b">
        <v>0</v>
      </c>
      <c r="F248" s="12">
        <v>2</v>
      </c>
      <c r="G248" s="12">
        <v>2</v>
      </c>
      <c r="H248" s="9">
        <v>0.16</v>
      </c>
      <c r="I248" t="s">
        <v>16</v>
      </c>
      <c r="J248" t="s">
        <v>20</v>
      </c>
      <c r="K248" t="s">
        <v>14</v>
      </c>
      <c r="L248" t="s">
        <v>24</v>
      </c>
    </row>
    <row r="249" spans="1:12" x14ac:dyDescent="0.3">
      <c r="A249" s="12">
        <v>248</v>
      </c>
      <c r="B249" s="2">
        <v>40554</v>
      </c>
      <c r="C249" s="12">
        <v>1</v>
      </c>
      <c r="D249" s="12">
        <v>16</v>
      </c>
      <c r="E249" t="b">
        <v>0</v>
      </c>
      <c r="F249" s="12">
        <v>2</v>
      </c>
      <c r="G249" s="12">
        <v>2</v>
      </c>
      <c r="H249" s="9">
        <v>0.16</v>
      </c>
      <c r="I249" t="s">
        <v>16</v>
      </c>
      <c r="J249" t="s">
        <v>20</v>
      </c>
      <c r="K249" t="s">
        <v>14</v>
      </c>
      <c r="L249" t="s">
        <v>24</v>
      </c>
    </row>
    <row r="250" spans="1:12" x14ac:dyDescent="0.3">
      <c r="A250" s="12">
        <v>249</v>
      </c>
      <c r="B250" s="2">
        <v>40554</v>
      </c>
      <c r="C250" s="12">
        <v>1</v>
      </c>
      <c r="D250" s="12">
        <v>17</v>
      </c>
      <c r="E250" t="b">
        <v>0</v>
      </c>
      <c r="F250" s="12">
        <v>2</v>
      </c>
      <c r="G250" s="12">
        <v>2</v>
      </c>
      <c r="H250" s="9">
        <v>0.16</v>
      </c>
      <c r="I250" t="s">
        <v>16</v>
      </c>
      <c r="J250" t="s">
        <v>22</v>
      </c>
      <c r="K250" t="s">
        <v>14</v>
      </c>
      <c r="L250" t="s">
        <v>24</v>
      </c>
    </row>
    <row r="251" spans="1:12" x14ac:dyDescent="0.3">
      <c r="A251" s="12">
        <v>250</v>
      </c>
      <c r="B251" s="2">
        <v>40554</v>
      </c>
      <c r="C251" s="12">
        <v>1</v>
      </c>
      <c r="D251" s="12">
        <v>18</v>
      </c>
      <c r="E251" t="b">
        <v>0</v>
      </c>
      <c r="F251" s="12">
        <v>2</v>
      </c>
      <c r="G251" s="12">
        <v>3</v>
      </c>
      <c r="H251" s="9">
        <v>0.16</v>
      </c>
      <c r="I251" t="s">
        <v>23</v>
      </c>
      <c r="J251" t="s">
        <v>22</v>
      </c>
      <c r="K251" t="s">
        <v>14</v>
      </c>
      <c r="L251" t="s">
        <v>24</v>
      </c>
    </row>
    <row r="252" spans="1:12" x14ac:dyDescent="0.3">
      <c r="A252" s="12">
        <v>251</v>
      </c>
      <c r="B252" s="2">
        <v>40554</v>
      </c>
      <c r="C252" s="12">
        <v>1</v>
      </c>
      <c r="D252" s="12">
        <v>19</v>
      </c>
      <c r="E252" t="b">
        <v>0</v>
      </c>
      <c r="F252" s="12">
        <v>2</v>
      </c>
      <c r="G252" s="12">
        <v>3</v>
      </c>
      <c r="H252" s="9">
        <v>0.16</v>
      </c>
      <c r="I252" t="s">
        <v>23</v>
      </c>
      <c r="J252" t="s">
        <v>22</v>
      </c>
      <c r="K252" t="s">
        <v>14</v>
      </c>
      <c r="L252" t="s">
        <v>24</v>
      </c>
    </row>
    <row r="253" spans="1:12" x14ac:dyDescent="0.3">
      <c r="A253" s="12">
        <v>252</v>
      </c>
      <c r="B253" s="2">
        <v>40554</v>
      </c>
      <c r="C253" s="12">
        <v>1</v>
      </c>
      <c r="D253" s="12">
        <v>20</v>
      </c>
      <c r="E253" t="b">
        <v>0</v>
      </c>
      <c r="F253" s="12">
        <v>2</v>
      </c>
      <c r="G253" s="12">
        <v>3</v>
      </c>
      <c r="H253" s="9">
        <v>0.16</v>
      </c>
      <c r="I253" t="s">
        <v>23</v>
      </c>
      <c r="J253" t="s">
        <v>22</v>
      </c>
      <c r="K253" t="s">
        <v>14</v>
      </c>
      <c r="L253" t="s">
        <v>24</v>
      </c>
    </row>
    <row r="254" spans="1:12" x14ac:dyDescent="0.3">
      <c r="A254" s="12">
        <v>253</v>
      </c>
      <c r="B254" s="2">
        <v>40554</v>
      </c>
      <c r="C254" s="12">
        <v>1</v>
      </c>
      <c r="D254" s="12">
        <v>21</v>
      </c>
      <c r="E254" t="b">
        <v>0</v>
      </c>
      <c r="F254" s="12">
        <v>2</v>
      </c>
      <c r="G254" s="12">
        <v>3</v>
      </c>
      <c r="H254" s="9">
        <v>0.16</v>
      </c>
      <c r="I254" t="s">
        <v>23</v>
      </c>
      <c r="J254" t="s">
        <v>13</v>
      </c>
      <c r="K254" t="s">
        <v>14</v>
      </c>
      <c r="L254" t="s">
        <v>24</v>
      </c>
    </row>
    <row r="255" spans="1:12" x14ac:dyDescent="0.3">
      <c r="A255" s="12">
        <v>254</v>
      </c>
      <c r="B255" s="2">
        <v>40554</v>
      </c>
      <c r="C255" s="12">
        <v>1</v>
      </c>
      <c r="D255" s="12">
        <v>22</v>
      </c>
      <c r="E255" t="b">
        <v>0</v>
      </c>
      <c r="F255" s="12">
        <v>2</v>
      </c>
      <c r="G255" s="12">
        <v>3</v>
      </c>
      <c r="H255" s="9">
        <v>0.16</v>
      </c>
      <c r="I255" t="s">
        <v>23</v>
      </c>
      <c r="J255" t="s">
        <v>13</v>
      </c>
      <c r="K255" t="s">
        <v>14</v>
      </c>
      <c r="L255" t="s">
        <v>24</v>
      </c>
    </row>
    <row r="256" spans="1:12" x14ac:dyDescent="0.3">
      <c r="A256" s="12">
        <v>255</v>
      </c>
      <c r="B256" s="2">
        <v>40554</v>
      </c>
      <c r="C256" s="12">
        <v>1</v>
      </c>
      <c r="D256" s="12">
        <v>23</v>
      </c>
      <c r="E256" t="b">
        <v>0</v>
      </c>
      <c r="F256" s="12">
        <v>2</v>
      </c>
      <c r="G256" s="12">
        <v>3</v>
      </c>
      <c r="H256" s="9">
        <v>0.16</v>
      </c>
      <c r="I256" t="s">
        <v>23</v>
      </c>
      <c r="J256" t="s">
        <v>13</v>
      </c>
      <c r="K256" t="s">
        <v>14</v>
      </c>
      <c r="L256" t="s">
        <v>24</v>
      </c>
    </row>
    <row r="257" spans="1:12" x14ac:dyDescent="0.3">
      <c r="A257" s="12">
        <v>256</v>
      </c>
      <c r="B257" s="2">
        <v>40555</v>
      </c>
      <c r="C257" s="12">
        <v>1</v>
      </c>
      <c r="D257" s="12">
        <v>0</v>
      </c>
      <c r="E257" t="b">
        <v>0</v>
      </c>
      <c r="F257" s="12">
        <v>3</v>
      </c>
      <c r="G257" s="12">
        <v>2</v>
      </c>
      <c r="H257" s="9">
        <v>0.16</v>
      </c>
      <c r="I257" t="s">
        <v>16</v>
      </c>
      <c r="J257" t="s">
        <v>13</v>
      </c>
      <c r="K257" t="s">
        <v>14</v>
      </c>
      <c r="L257" t="s">
        <v>24</v>
      </c>
    </row>
    <row r="258" spans="1:12" x14ac:dyDescent="0.3">
      <c r="A258" s="12">
        <v>257</v>
      </c>
      <c r="B258" s="2">
        <v>40555</v>
      </c>
      <c r="C258" s="12">
        <v>1</v>
      </c>
      <c r="D258" s="12">
        <v>1</v>
      </c>
      <c r="E258" t="b">
        <v>0</v>
      </c>
      <c r="F258" s="12">
        <v>3</v>
      </c>
      <c r="G258" s="12">
        <v>2</v>
      </c>
      <c r="H258" s="9">
        <v>0.16</v>
      </c>
      <c r="I258" t="s">
        <v>16</v>
      </c>
      <c r="J258" t="s">
        <v>13</v>
      </c>
      <c r="K258" t="s">
        <v>14</v>
      </c>
      <c r="L258" t="s">
        <v>24</v>
      </c>
    </row>
    <row r="259" spans="1:12" x14ac:dyDescent="0.3">
      <c r="A259" s="12">
        <v>258</v>
      </c>
      <c r="B259" s="2">
        <v>40555</v>
      </c>
      <c r="C259" s="12">
        <v>1</v>
      </c>
      <c r="D259" s="12">
        <v>2</v>
      </c>
      <c r="E259" t="b">
        <v>0</v>
      </c>
      <c r="F259" s="12">
        <v>3</v>
      </c>
      <c r="G259" s="12">
        <v>1</v>
      </c>
      <c r="H259" s="9">
        <v>0.14000000000000001</v>
      </c>
      <c r="I259" t="s">
        <v>12</v>
      </c>
      <c r="J259" t="s">
        <v>13</v>
      </c>
      <c r="K259" t="s">
        <v>25</v>
      </c>
      <c r="L259" t="s">
        <v>24</v>
      </c>
    </row>
    <row r="260" spans="1:12" x14ac:dyDescent="0.3">
      <c r="A260" s="12">
        <v>259</v>
      </c>
      <c r="B260" s="2">
        <v>40555</v>
      </c>
      <c r="C260" s="12">
        <v>1</v>
      </c>
      <c r="D260" s="12">
        <v>5</v>
      </c>
      <c r="E260" t="b">
        <v>0</v>
      </c>
      <c r="F260" s="12">
        <v>3</v>
      </c>
      <c r="G260" s="12">
        <v>1</v>
      </c>
      <c r="H260" s="9">
        <v>0.14000000000000001</v>
      </c>
      <c r="I260" t="s">
        <v>12</v>
      </c>
      <c r="J260" t="s">
        <v>13</v>
      </c>
      <c r="K260" t="s">
        <v>25</v>
      </c>
      <c r="L260" t="s">
        <v>24</v>
      </c>
    </row>
    <row r="261" spans="1:12" x14ac:dyDescent="0.3">
      <c r="A261" s="12">
        <v>260</v>
      </c>
      <c r="B261" s="2">
        <v>40555</v>
      </c>
      <c r="C261" s="12">
        <v>1</v>
      </c>
      <c r="D261" s="12">
        <v>6</v>
      </c>
      <c r="E261" t="b">
        <v>0</v>
      </c>
      <c r="F261" s="12">
        <v>3</v>
      </c>
      <c r="G261" s="12">
        <v>1</v>
      </c>
      <c r="H261" s="9">
        <v>0.12</v>
      </c>
      <c r="I261" t="s">
        <v>12</v>
      </c>
      <c r="J261" t="s">
        <v>17</v>
      </c>
      <c r="K261" t="s">
        <v>25</v>
      </c>
      <c r="L261" t="s">
        <v>24</v>
      </c>
    </row>
    <row r="262" spans="1:12" x14ac:dyDescent="0.3">
      <c r="A262" s="12">
        <v>261</v>
      </c>
      <c r="B262" s="2">
        <v>40555</v>
      </c>
      <c r="C262" s="12">
        <v>1</v>
      </c>
      <c r="D262" s="12">
        <v>7</v>
      </c>
      <c r="E262" t="b">
        <v>0</v>
      </c>
      <c r="F262" s="12">
        <v>3</v>
      </c>
      <c r="G262" s="12">
        <v>1</v>
      </c>
      <c r="H262" s="9">
        <v>0.14000000000000001</v>
      </c>
      <c r="I262" t="s">
        <v>12</v>
      </c>
      <c r="J262" t="s">
        <v>17</v>
      </c>
      <c r="K262" t="s">
        <v>25</v>
      </c>
      <c r="L262" t="s">
        <v>24</v>
      </c>
    </row>
    <row r="263" spans="1:12" x14ac:dyDescent="0.3">
      <c r="A263" s="12">
        <v>262</v>
      </c>
      <c r="B263" s="2">
        <v>40555</v>
      </c>
      <c r="C263" s="12">
        <v>1</v>
      </c>
      <c r="D263" s="12">
        <v>8</v>
      </c>
      <c r="E263" t="b">
        <v>0</v>
      </c>
      <c r="F263" s="12">
        <v>3</v>
      </c>
      <c r="G263" s="12">
        <v>1</v>
      </c>
      <c r="H263" s="9">
        <v>0.16</v>
      </c>
      <c r="I263" t="s">
        <v>12</v>
      </c>
      <c r="J263" t="s">
        <v>17</v>
      </c>
      <c r="K263" t="s">
        <v>14</v>
      </c>
      <c r="L263" t="s">
        <v>24</v>
      </c>
    </row>
    <row r="264" spans="1:12" x14ac:dyDescent="0.3">
      <c r="A264" s="12">
        <v>263</v>
      </c>
      <c r="B264" s="2">
        <v>40555</v>
      </c>
      <c r="C264" s="12">
        <v>1</v>
      </c>
      <c r="D264" s="12">
        <v>9</v>
      </c>
      <c r="E264" t="b">
        <v>0</v>
      </c>
      <c r="F264" s="12">
        <v>3</v>
      </c>
      <c r="G264" s="12">
        <v>1</v>
      </c>
      <c r="H264" s="9">
        <v>0.16</v>
      </c>
      <c r="I264" t="s">
        <v>12</v>
      </c>
      <c r="J264" t="s">
        <v>17</v>
      </c>
      <c r="K264" t="s">
        <v>14</v>
      </c>
      <c r="L264" t="s">
        <v>24</v>
      </c>
    </row>
    <row r="265" spans="1:12" x14ac:dyDescent="0.3">
      <c r="A265" s="12">
        <v>264</v>
      </c>
      <c r="B265" s="2">
        <v>40555</v>
      </c>
      <c r="C265" s="12">
        <v>1</v>
      </c>
      <c r="D265" s="12">
        <v>10</v>
      </c>
      <c r="E265" t="b">
        <v>0</v>
      </c>
      <c r="F265" s="12">
        <v>3</v>
      </c>
      <c r="G265" s="12">
        <v>1</v>
      </c>
      <c r="H265" s="9">
        <v>0.18</v>
      </c>
      <c r="I265" t="s">
        <v>12</v>
      </c>
      <c r="J265" t="s">
        <v>17</v>
      </c>
      <c r="K265" t="s">
        <v>14</v>
      </c>
      <c r="L265" t="s">
        <v>24</v>
      </c>
    </row>
    <row r="266" spans="1:12" x14ac:dyDescent="0.3">
      <c r="A266" s="12">
        <v>265</v>
      </c>
      <c r="B266" s="2">
        <v>40555</v>
      </c>
      <c r="C266" s="12">
        <v>1</v>
      </c>
      <c r="D266" s="12">
        <v>11</v>
      </c>
      <c r="E266" t="b">
        <v>0</v>
      </c>
      <c r="F266" s="12">
        <v>3</v>
      </c>
      <c r="G266" s="12">
        <v>1</v>
      </c>
      <c r="H266" s="9">
        <v>0.2</v>
      </c>
      <c r="I266" t="s">
        <v>12</v>
      </c>
      <c r="J266" t="s">
        <v>17</v>
      </c>
      <c r="K266" t="s">
        <v>14</v>
      </c>
      <c r="L266" t="s">
        <v>24</v>
      </c>
    </row>
    <row r="267" spans="1:12" x14ac:dyDescent="0.3">
      <c r="A267" s="12">
        <v>266</v>
      </c>
      <c r="B267" s="2">
        <v>40555</v>
      </c>
      <c r="C267" s="12">
        <v>1</v>
      </c>
      <c r="D267" s="12">
        <v>12</v>
      </c>
      <c r="E267" t="b">
        <v>0</v>
      </c>
      <c r="F267" s="12">
        <v>3</v>
      </c>
      <c r="G267" s="12">
        <v>1</v>
      </c>
      <c r="H267" s="9">
        <v>0.2</v>
      </c>
      <c r="I267" t="s">
        <v>12</v>
      </c>
      <c r="J267" t="s">
        <v>20</v>
      </c>
      <c r="K267" t="s">
        <v>14</v>
      </c>
      <c r="L267" t="s">
        <v>24</v>
      </c>
    </row>
    <row r="268" spans="1:12" x14ac:dyDescent="0.3">
      <c r="A268" s="12">
        <v>267</v>
      </c>
      <c r="B268" s="2">
        <v>40555</v>
      </c>
      <c r="C268" s="12">
        <v>1</v>
      </c>
      <c r="D268" s="12">
        <v>13</v>
      </c>
      <c r="E268" t="b">
        <v>0</v>
      </c>
      <c r="F268" s="12">
        <v>3</v>
      </c>
      <c r="G268" s="12">
        <v>1</v>
      </c>
      <c r="H268" s="9">
        <v>0.22</v>
      </c>
      <c r="I268" t="s">
        <v>12</v>
      </c>
      <c r="J268" t="s">
        <v>20</v>
      </c>
      <c r="K268" t="s">
        <v>14</v>
      </c>
      <c r="L268" t="s">
        <v>24</v>
      </c>
    </row>
    <row r="269" spans="1:12" x14ac:dyDescent="0.3">
      <c r="A269" s="12">
        <v>268</v>
      </c>
      <c r="B269" s="2">
        <v>40555</v>
      </c>
      <c r="C269" s="12">
        <v>1</v>
      </c>
      <c r="D269" s="12">
        <v>14</v>
      </c>
      <c r="E269" t="b">
        <v>0</v>
      </c>
      <c r="F269" s="12">
        <v>3</v>
      </c>
      <c r="G269" s="12">
        <v>1</v>
      </c>
      <c r="H269" s="9">
        <v>0.2</v>
      </c>
      <c r="I269" t="s">
        <v>12</v>
      </c>
      <c r="J269" t="s">
        <v>20</v>
      </c>
      <c r="K269" t="s">
        <v>14</v>
      </c>
      <c r="L269" t="s">
        <v>24</v>
      </c>
    </row>
    <row r="270" spans="1:12" x14ac:dyDescent="0.3">
      <c r="A270" s="12">
        <v>269</v>
      </c>
      <c r="B270" s="2">
        <v>40555</v>
      </c>
      <c r="C270" s="12">
        <v>1</v>
      </c>
      <c r="D270" s="12">
        <v>15</v>
      </c>
      <c r="E270" t="b">
        <v>0</v>
      </c>
      <c r="F270" s="12">
        <v>3</v>
      </c>
      <c r="G270" s="12">
        <v>1</v>
      </c>
      <c r="H270" s="9">
        <v>0.2</v>
      </c>
      <c r="I270" t="s">
        <v>12</v>
      </c>
      <c r="J270" t="s">
        <v>20</v>
      </c>
      <c r="K270" t="s">
        <v>14</v>
      </c>
      <c r="L270" t="s">
        <v>24</v>
      </c>
    </row>
    <row r="271" spans="1:12" x14ac:dyDescent="0.3">
      <c r="A271" s="12">
        <v>270</v>
      </c>
      <c r="B271" s="2">
        <v>40555</v>
      </c>
      <c r="C271" s="12">
        <v>1</v>
      </c>
      <c r="D271" s="12">
        <v>16</v>
      </c>
      <c r="E271" t="b">
        <v>0</v>
      </c>
      <c r="F271" s="12">
        <v>3</v>
      </c>
      <c r="G271" s="12">
        <v>1</v>
      </c>
      <c r="H271" s="9">
        <v>0.22</v>
      </c>
      <c r="I271" t="s">
        <v>12</v>
      </c>
      <c r="J271" t="s">
        <v>20</v>
      </c>
      <c r="K271" t="s">
        <v>14</v>
      </c>
      <c r="L271" t="s">
        <v>24</v>
      </c>
    </row>
    <row r="272" spans="1:12" x14ac:dyDescent="0.3">
      <c r="A272" s="12">
        <v>271</v>
      </c>
      <c r="B272" s="2">
        <v>40555</v>
      </c>
      <c r="C272" s="12">
        <v>1</v>
      </c>
      <c r="D272" s="12">
        <v>17</v>
      </c>
      <c r="E272" t="b">
        <v>0</v>
      </c>
      <c r="F272" s="12">
        <v>3</v>
      </c>
      <c r="G272" s="12">
        <v>1</v>
      </c>
      <c r="H272" s="9">
        <v>0.2</v>
      </c>
      <c r="I272" t="s">
        <v>12</v>
      </c>
      <c r="J272" t="s">
        <v>22</v>
      </c>
      <c r="K272" t="s">
        <v>14</v>
      </c>
      <c r="L272" t="s">
        <v>24</v>
      </c>
    </row>
    <row r="273" spans="1:12" x14ac:dyDescent="0.3">
      <c r="A273" s="12">
        <v>272</v>
      </c>
      <c r="B273" s="2">
        <v>40555</v>
      </c>
      <c r="C273" s="12">
        <v>1</v>
      </c>
      <c r="D273" s="12">
        <v>18</v>
      </c>
      <c r="E273" t="b">
        <v>0</v>
      </c>
      <c r="F273" s="12">
        <v>3</v>
      </c>
      <c r="G273" s="12">
        <v>1</v>
      </c>
      <c r="H273" s="9">
        <v>0.2</v>
      </c>
      <c r="I273" t="s">
        <v>12</v>
      </c>
      <c r="J273" t="s">
        <v>22</v>
      </c>
      <c r="K273" t="s">
        <v>14</v>
      </c>
      <c r="L273" t="s">
        <v>24</v>
      </c>
    </row>
    <row r="274" spans="1:12" x14ac:dyDescent="0.3">
      <c r="A274" s="12">
        <v>273</v>
      </c>
      <c r="B274" s="2">
        <v>40555</v>
      </c>
      <c r="C274" s="12">
        <v>1</v>
      </c>
      <c r="D274" s="12">
        <v>19</v>
      </c>
      <c r="E274" t="b">
        <v>0</v>
      </c>
      <c r="F274" s="12">
        <v>3</v>
      </c>
      <c r="G274" s="12">
        <v>1</v>
      </c>
      <c r="H274" s="9">
        <v>0.18</v>
      </c>
      <c r="I274" t="s">
        <v>12</v>
      </c>
      <c r="J274" t="s">
        <v>22</v>
      </c>
      <c r="K274" t="s">
        <v>14</v>
      </c>
      <c r="L274" t="s">
        <v>24</v>
      </c>
    </row>
    <row r="275" spans="1:12" x14ac:dyDescent="0.3">
      <c r="A275" s="12">
        <v>274</v>
      </c>
      <c r="B275" s="2">
        <v>40555</v>
      </c>
      <c r="C275" s="12">
        <v>1</v>
      </c>
      <c r="D275" s="12">
        <v>20</v>
      </c>
      <c r="E275" t="b">
        <v>0</v>
      </c>
      <c r="F275" s="12">
        <v>3</v>
      </c>
      <c r="G275" s="12">
        <v>1</v>
      </c>
      <c r="H275" s="9">
        <v>0.16</v>
      </c>
      <c r="I275" t="s">
        <v>12</v>
      </c>
      <c r="J275" t="s">
        <v>22</v>
      </c>
      <c r="K275" t="s">
        <v>14</v>
      </c>
      <c r="L275" t="s">
        <v>24</v>
      </c>
    </row>
    <row r="276" spans="1:12" x14ac:dyDescent="0.3">
      <c r="A276" s="12">
        <v>275</v>
      </c>
      <c r="B276" s="2">
        <v>40555</v>
      </c>
      <c r="C276" s="12">
        <v>1</v>
      </c>
      <c r="D276" s="12">
        <v>21</v>
      </c>
      <c r="E276" t="b">
        <v>0</v>
      </c>
      <c r="F276" s="12">
        <v>3</v>
      </c>
      <c r="G276" s="12">
        <v>1</v>
      </c>
      <c r="H276" s="9">
        <v>0.16</v>
      </c>
      <c r="I276" t="s">
        <v>12</v>
      </c>
      <c r="J276" t="s">
        <v>13</v>
      </c>
      <c r="K276" t="s">
        <v>14</v>
      </c>
      <c r="L276" t="s">
        <v>24</v>
      </c>
    </row>
    <row r="277" spans="1:12" x14ac:dyDescent="0.3">
      <c r="A277" s="12">
        <v>276</v>
      </c>
      <c r="B277" s="2">
        <v>40555</v>
      </c>
      <c r="C277" s="12">
        <v>1</v>
      </c>
      <c r="D277" s="12">
        <v>22</v>
      </c>
      <c r="E277" t="b">
        <v>0</v>
      </c>
      <c r="F277" s="12">
        <v>3</v>
      </c>
      <c r="G277" s="12">
        <v>1</v>
      </c>
      <c r="H277" s="9">
        <v>0.16</v>
      </c>
      <c r="I277" t="s">
        <v>12</v>
      </c>
      <c r="J277" t="s">
        <v>13</v>
      </c>
      <c r="K277" t="s">
        <v>14</v>
      </c>
      <c r="L277" t="s">
        <v>24</v>
      </c>
    </row>
    <row r="278" spans="1:12" x14ac:dyDescent="0.3">
      <c r="A278" s="12">
        <v>277</v>
      </c>
      <c r="B278" s="2">
        <v>40555</v>
      </c>
      <c r="C278" s="12">
        <v>1</v>
      </c>
      <c r="D278" s="12">
        <v>23</v>
      </c>
      <c r="E278" t="b">
        <v>0</v>
      </c>
      <c r="F278" s="12">
        <v>3</v>
      </c>
      <c r="G278" s="12">
        <v>1</v>
      </c>
      <c r="H278" s="9">
        <v>0.14000000000000001</v>
      </c>
      <c r="I278" t="s">
        <v>12</v>
      </c>
      <c r="J278" t="s">
        <v>13</v>
      </c>
      <c r="K278" t="s">
        <v>25</v>
      </c>
      <c r="L278" t="s">
        <v>24</v>
      </c>
    </row>
    <row r="279" spans="1:12" x14ac:dyDescent="0.3">
      <c r="A279" s="12">
        <v>278</v>
      </c>
      <c r="B279" s="2">
        <v>40556</v>
      </c>
      <c r="C279" s="12">
        <v>1</v>
      </c>
      <c r="D279" s="12">
        <v>0</v>
      </c>
      <c r="E279" t="b">
        <v>0</v>
      </c>
      <c r="F279" s="12">
        <v>4</v>
      </c>
      <c r="G279" s="12">
        <v>1</v>
      </c>
      <c r="H279" s="9">
        <v>0.14000000000000001</v>
      </c>
      <c r="I279" t="s">
        <v>12</v>
      </c>
      <c r="J279" t="s">
        <v>13</v>
      </c>
      <c r="K279" t="s">
        <v>25</v>
      </c>
      <c r="L279" t="s">
        <v>24</v>
      </c>
    </row>
    <row r="280" spans="1:12" x14ac:dyDescent="0.3">
      <c r="A280" s="12">
        <v>279</v>
      </c>
      <c r="B280" s="2">
        <v>40556</v>
      </c>
      <c r="C280" s="12">
        <v>1</v>
      </c>
      <c r="D280" s="12">
        <v>1</v>
      </c>
      <c r="E280" t="b">
        <v>0</v>
      </c>
      <c r="F280" s="12">
        <v>4</v>
      </c>
      <c r="G280" s="12">
        <v>1</v>
      </c>
      <c r="H280" s="9">
        <v>0.14000000000000001</v>
      </c>
      <c r="I280" t="s">
        <v>12</v>
      </c>
      <c r="J280" t="s">
        <v>13</v>
      </c>
      <c r="K280" t="s">
        <v>25</v>
      </c>
      <c r="L280" t="s">
        <v>24</v>
      </c>
    </row>
    <row r="281" spans="1:12" x14ac:dyDescent="0.3">
      <c r="A281" s="12">
        <v>280</v>
      </c>
      <c r="B281" s="2">
        <v>40556</v>
      </c>
      <c r="C281" s="12">
        <v>1</v>
      </c>
      <c r="D281" s="12">
        <v>2</v>
      </c>
      <c r="E281" t="b">
        <v>0</v>
      </c>
      <c r="F281" s="12">
        <v>4</v>
      </c>
      <c r="G281" s="12">
        <v>1</v>
      </c>
      <c r="H281" s="9">
        <v>0.14000000000000001</v>
      </c>
      <c r="I281" t="s">
        <v>12</v>
      </c>
      <c r="J281" t="s">
        <v>13</v>
      </c>
      <c r="K281" t="s">
        <v>25</v>
      </c>
      <c r="L281" t="s">
        <v>24</v>
      </c>
    </row>
    <row r="282" spans="1:12" x14ac:dyDescent="0.3">
      <c r="A282" s="12">
        <v>281</v>
      </c>
      <c r="B282" s="2">
        <v>40556</v>
      </c>
      <c r="C282" s="12">
        <v>1</v>
      </c>
      <c r="D282" s="12">
        <v>3</v>
      </c>
      <c r="E282" t="b">
        <v>0</v>
      </c>
      <c r="F282" s="12">
        <v>4</v>
      </c>
      <c r="G282" s="12">
        <v>1</v>
      </c>
      <c r="H282" s="9">
        <v>0.14000000000000001</v>
      </c>
      <c r="I282" t="s">
        <v>12</v>
      </c>
      <c r="J282" t="s">
        <v>13</v>
      </c>
      <c r="K282" t="s">
        <v>25</v>
      </c>
      <c r="L282" t="s">
        <v>24</v>
      </c>
    </row>
    <row r="283" spans="1:12" x14ac:dyDescent="0.3">
      <c r="A283" s="12">
        <v>282</v>
      </c>
      <c r="B283" s="2">
        <v>40556</v>
      </c>
      <c r="C283" s="12">
        <v>1</v>
      </c>
      <c r="D283" s="12">
        <v>4</v>
      </c>
      <c r="E283" t="b">
        <v>0</v>
      </c>
      <c r="F283" s="12">
        <v>4</v>
      </c>
      <c r="G283" s="12">
        <v>1</v>
      </c>
      <c r="H283" s="9">
        <v>0.14000000000000001</v>
      </c>
      <c r="I283" t="s">
        <v>12</v>
      </c>
      <c r="J283" t="s">
        <v>13</v>
      </c>
      <c r="K283" t="s">
        <v>25</v>
      </c>
      <c r="L283" t="s">
        <v>24</v>
      </c>
    </row>
    <row r="284" spans="1:12" x14ac:dyDescent="0.3">
      <c r="A284" s="12">
        <v>283</v>
      </c>
      <c r="B284" s="2">
        <v>40556</v>
      </c>
      <c r="C284" s="12">
        <v>1</v>
      </c>
      <c r="D284" s="12">
        <v>5</v>
      </c>
      <c r="E284" t="b">
        <v>0</v>
      </c>
      <c r="F284" s="12">
        <v>4</v>
      </c>
      <c r="G284" s="12">
        <v>1</v>
      </c>
      <c r="H284" s="9">
        <v>0.14000000000000001</v>
      </c>
      <c r="I284" t="s">
        <v>12</v>
      </c>
      <c r="J284" t="s">
        <v>13</v>
      </c>
      <c r="K284" t="s">
        <v>25</v>
      </c>
      <c r="L284" t="s">
        <v>24</v>
      </c>
    </row>
    <row r="285" spans="1:12" x14ac:dyDescent="0.3">
      <c r="A285" s="12">
        <v>284</v>
      </c>
      <c r="B285" s="2">
        <v>40556</v>
      </c>
      <c r="C285" s="12">
        <v>1</v>
      </c>
      <c r="D285" s="12">
        <v>6</v>
      </c>
      <c r="E285" t="b">
        <v>0</v>
      </c>
      <c r="F285" s="12">
        <v>4</v>
      </c>
      <c r="G285" s="12">
        <v>1</v>
      </c>
      <c r="H285" s="9">
        <v>0.12</v>
      </c>
      <c r="I285" t="s">
        <v>12</v>
      </c>
      <c r="J285" t="s">
        <v>17</v>
      </c>
      <c r="K285" t="s">
        <v>25</v>
      </c>
      <c r="L285" t="s">
        <v>24</v>
      </c>
    </row>
    <row r="286" spans="1:12" x14ac:dyDescent="0.3">
      <c r="A286" s="12">
        <v>285</v>
      </c>
      <c r="B286" s="2">
        <v>40556</v>
      </c>
      <c r="C286" s="12">
        <v>1</v>
      </c>
      <c r="D286" s="12">
        <v>7</v>
      </c>
      <c r="E286" t="b">
        <v>0</v>
      </c>
      <c r="F286" s="12">
        <v>4</v>
      </c>
      <c r="G286" s="12">
        <v>1</v>
      </c>
      <c r="H286" s="9">
        <v>0.12</v>
      </c>
      <c r="I286" t="s">
        <v>12</v>
      </c>
      <c r="J286" t="s">
        <v>17</v>
      </c>
      <c r="K286" t="s">
        <v>25</v>
      </c>
      <c r="L286" t="s">
        <v>24</v>
      </c>
    </row>
    <row r="287" spans="1:12" x14ac:dyDescent="0.3">
      <c r="A287" s="12">
        <v>286</v>
      </c>
      <c r="B287" s="2">
        <v>40556</v>
      </c>
      <c r="C287" s="12">
        <v>1</v>
      </c>
      <c r="D287" s="12">
        <v>8</v>
      </c>
      <c r="E287" t="b">
        <v>0</v>
      </c>
      <c r="F287" s="12">
        <v>4</v>
      </c>
      <c r="G287" s="12">
        <v>1</v>
      </c>
      <c r="H287" s="9">
        <v>0.14000000000000001</v>
      </c>
      <c r="I287" t="s">
        <v>12</v>
      </c>
      <c r="J287" t="s">
        <v>17</v>
      </c>
      <c r="K287" t="s">
        <v>25</v>
      </c>
      <c r="L287" t="s">
        <v>24</v>
      </c>
    </row>
    <row r="288" spans="1:12" x14ac:dyDescent="0.3">
      <c r="A288" s="12">
        <v>287</v>
      </c>
      <c r="B288" s="2">
        <v>40556</v>
      </c>
      <c r="C288" s="12">
        <v>1</v>
      </c>
      <c r="D288" s="12">
        <v>9</v>
      </c>
      <c r="E288" t="b">
        <v>0</v>
      </c>
      <c r="F288" s="12">
        <v>4</v>
      </c>
      <c r="G288" s="12">
        <v>1</v>
      </c>
      <c r="H288" s="9">
        <v>0.14000000000000001</v>
      </c>
      <c r="I288" t="s">
        <v>12</v>
      </c>
      <c r="J288" t="s">
        <v>17</v>
      </c>
      <c r="K288" t="s">
        <v>25</v>
      </c>
      <c r="L288" t="s">
        <v>24</v>
      </c>
    </row>
    <row r="289" spans="1:12" x14ac:dyDescent="0.3">
      <c r="A289" s="12">
        <v>288</v>
      </c>
      <c r="B289" s="2">
        <v>40556</v>
      </c>
      <c r="C289" s="12">
        <v>1</v>
      </c>
      <c r="D289" s="12">
        <v>10</v>
      </c>
      <c r="E289" t="b">
        <v>0</v>
      </c>
      <c r="F289" s="12">
        <v>4</v>
      </c>
      <c r="G289" s="12">
        <v>2</v>
      </c>
      <c r="H289" s="9">
        <v>0.16</v>
      </c>
      <c r="I289" t="s">
        <v>16</v>
      </c>
      <c r="J289" t="s">
        <v>17</v>
      </c>
      <c r="K289" t="s">
        <v>14</v>
      </c>
      <c r="L289" t="s">
        <v>24</v>
      </c>
    </row>
    <row r="290" spans="1:12" x14ac:dyDescent="0.3">
      <c r="A290" s="12">
        <v>289</v>
      </c>
      <c r="B290" s="2">
        <v>40556</v>
      </c>
      <c r="C290" s="12">
        <v>1</v>
      </c>
      <c r="D290" s="12">
        <v>11</v>
      </c>
      <c r="E290" t="b">
        <v>0</v>
      </c>
      <c r="F290" s="12">
        <v>4</v>
      </c>
      <c r="G290" s="12">
        <v>2</v>
      </c>
      <c r="H290" s="9">
        <v>0.2</v>
      </c>
      <c r="I290" t="s">
        <v>16</v>
      </c>
      <c r="J290" t="s">
        <v>17</v>
      </c>
      <c r="K290" t="s">
        <v>14</v>
      </c>
      <c r="L290" t="s">
        <v>24</v>
      </c>
    </row>
    <row r="291" spans="1:12" x14ac:dyDescent="0.3">
      <c r="A291" s="12">
        <v>290</v>
      </c>
      <c r="B291" s="2">
        <v>40556</v>
      </c>
      <c r="C291" s="12">
        <v>1</v>
      </c>
      <c r="D291" s="12">
        <v>12</v>
      </c>
      <c r="E291" t="b">
        <v>0</v>
      </c>
      <c r="F291" s="12">
        <v>4</v>
      </c>
      <c r="G291" s="12">
        <v>1</v>
      </c>
      <c r="H291" s="9">
        <v>0.2</v>
      </c>
      <c r="I291" t="s">
        <v>12</v>
      </c>
      <c r="J291" t="s">
        <v>20</v>
      </c>
      <c r="K291" t="s">
        <v>14</v>
      </c>
      <c r="L291" t="s">
        <v>24</v>
      </c>
    </row>
    <row r="292" spans="1:12" x14ac:dyDescent="0.3">
      <c r="A292" s="12">
        <v>291</v>
      </c>
      <c r="B292" s="2">
        <v>40556</v>
      </c>
      <c r="C292" s="12">
        <v>1</v>
      </c>
      <c r="D292" s="12">
        <v>13</v>
      </c>
      <c r="E292" t="b">
        <v>0</v>
      </c>
      <c r="F292" s="12">
        <v>4</v>
      </c>
      <c r="G292" s="12">
        <v>1</v>
      </c>
      <c r="H292" s="9">
        <v>0.22</v>
      </c>
      <c r="I292" t="s">
        <v>12</v>
      </c>
      <c r="J292" t="s">
        <v>20</v>
      </c>
      <c r="K292" t="s">
        <v>14</v>
      </c>
      <c r="L292" t="s">
        <v>24</v>
      </c>
    </row>
    <row r="293" spans="1:12" x14ac:dyDescent="0.3">
      <c r="A293" s="12">
        <v>292</v>
      </c>
      <c r="B293" s="2">
        <v>40556</v>
      </c>
      <c r="C293" s="12">
        <v>1</v>
      </c>
      <c r="D293" s="12">
        <v>14</v>
      </c>
      <c r="E293" t="b">
        <v>0</v>
      </c>
      <c r="F293" s="12">
        <v>4</v>
      </c>
      <c r="G293" s="12">
        <v>1</v>
      </c>
      <c r="H293" s="9">
        <v>0.22</v>
      </c>
      <c r="I293" t="s">
        <v>12</v>
      </c>
      <c r="J293" t="s">
        <v>20</v>
      </c>
      <c r="K293" t="s">
        <v>14</v>
      </c>
      <c r="L293" t="s">
        <v>24</v>
      </c>
    </row>
    <row r="294" spans="1:12" x14ac:dyDescent="0.3">
      <c r="A294" s="12">
        <v>293</v>
      </c>
      <c r="B294" s="2">
        <v>40556</v>
      </c>
      <c r="C294" s="12">
        <v>1</v>
      </c>
      <c r="D294" s="12">
        <v>15</v>
      </c>
      <c r="E294" t="b">
        <v>0</v>
      </c>
      <c r="F294" s="12">
        <v>4</v>
      </c>
      <c r="G294" s="12">
        <v>1</v>
      </c>
      <c r="H294" s="9">
        <v>0.24</v>
      </c>
      <c r="I294" t="s">
        <v>12</v>
      </c>
      <c r="J294" t="s">
        <v>20</v>
      </c>
      <c r="K294" t="s">
        <v>14</v>
      </c>
      <c r="L294" t="s">
        <v>24</v>
      </c>
    </row>
    <row r="295" spans="1:12" x14ac:dyDescent="0.3">
      <c r="A295" s="12">
        <v>294</v>
      </c>
      <c r="B295" s="2">
        <v>40556</v>
      </c>
      <c r="C295" s="12">
        <v>1</v>
      </c>
      <c r="D295" s="12">
        <v>16</v>
      </c>
      <c r="E295" t="b">
        <v>0</v>
      </c>
      <c r="F295" s="12">
        <v>4</v>
      </c>
      <c r="G295" s="12">
        <v>1</v>
      </c>
      <c r="H295" s="9">
        <v>0.24</v>
      </c>
      <c r="I295" t="s">
        <v>12</v>
      </c>
      <c r="J295" t="s">
        <v>20</v>
      </c>
      <c r="K295" t="s">
        <v>14</v>
      </c>
      <c r="L295" t="s">
        <v>24</v>
      </c>
    </row>
    <row r="296" spans="1:12" x14ac:dyDescent="0.3">
      <c r="A296" s="12">
        <v>295</v>
      </c>
      <c r="B296" s="2">
        <v>40556</v>
      </c>
      <c r="C296" s="12">
        <v>1</v>
      </c>
      <c r="D296" s="12">
        <v>17</v>
      </c>
      <c r="E296" t="b">
        <v>0</v>
      </c>
      <c r="F296" s="12">
        <v>4</v>
      </c>
      <c r="G296" s="12">
        <v>1</v>
      </c>
      <c r="H296" s="9">
        <v>0.2</v>
      </c>
      <c r="I296" t="s">
        <v>12</v>
      </c>
      <c r="J296" t="s">
        <v>22</v>
      </c>
      <c r="K296" t="s">
        <v>14</v>
      </c>
      <c r="L296" t="s">
        <v>24</v>
      </c>
    </row>
    <row r="297" spans="1:12" x14ac:dyDescent="0.3">
      <c r="A297" s="12">
        <v>296</v>
      </c>
      <c r="B297" s="2">
        <v>40556</v>
      </c>
      <c r="C297" s="12">
        <v>1</v>
      </c>
      <c r="D297" s="12">
        <v>18</v>
      </c>
      <c r="E297" t="b">
        <v>0</v>
      </c>
      <c r="F297" s="12">
        <v>4</v>
      </c>
      <c r="G297" s="12">
        <v>1</v>
      </c>
      <c r="H297" s="9">
        <v>0.2</v>
      </c>
      <c r="I297" t="s">
        <v>12</v>
      </c>
      <c r="J297" t="s">
        <v>22</v>
      </c>
      <c r="K297" t="s">
        <v>14</v>
      </c>
      <c r="L297" t="s">
        <v>24</v>
      </c>
    </row>
    <row r="298" spans="1:12" x14ac:dyDescent="0.3">
      <c r="A298" s="12">
        <v>297</v>
      </c>
      <c r="B298" s="2">
        <v>40556</v>
      </c>
      <c r="C298" s="12">
        <v>1</v>
      </c>
      <c r="D298" s="12">
        <v>19</v>
      </c>
      <c r="E298" t="b">
        <v>0</v>
      </c>
      <c r="F298" s="12">
        <v>4</v>
      </c>
      <c r="G298" s="12">
        <v>1</v>
      </c>
      <c r="H298" s="9">
        <v>0.16</v>
      </c>
      <c r="I298" t="s">
        <v>12</v>
      </c>
      <c r="J298" t="s">
        <v>22</v>
      </c>
      <c r="K298" t="s">
        <v>14</v>
      </c>
      <c r="L298" t="s">
        <v>24</v>
      </c>
    </row>
    <row r="299" spans="1:12" x14ac:dyDescent="0.3">
      <c r="A299" s="12">
        <v>298</v>
      </c>
      <c r="B299" s="2">
        <v>40556</v>
      </c>
      <c r="C299" s="12">
        <v>1</v>
      </c>
      <c r="D299" s="12">
        <v>20</v>
      </c>
      <c r="E299" t="b">
        <v>0</v>
      </c>
      <c r="F299" s="12">
        <v>4</v>
      </c>
      <c r="G299" s="12">
        <v>1</v>
      </c>
      <c r="H299" s="9">
        <v>0.16</v>
      </c>
      <c r="I299" t="s">
        <v>12</v>
      </c>
      <c r="J299" t="s">
        <v>22</v>
      </c>
      <c r="K299" t="s">
        <v>14</v>
      </c>
      <c r="L299" t="s">
        <v>24</v>
      </c>
    </row>
    <row r="300" spans="1:12" x14ac:dyDescent="0.3">
      <c r="A300" s="12">
        <v>299</v>
      </c>
      <c r="B300" s="2">
        <v>40556</v>
      </c>
      <c r="C300" s="12">
        <v>1</v>
      </c>
      <c r="D300" s="12">
        <v>21</v>
      </c>
      <c r="E300" t="b">
        <v>0</v>
      </c>
      <c r="F300" s="12">
        <v>4</v>
      </c>
      <c r="G300" s="12">
        <v>1</v>
      </c>
      <c r="H300" s="9">
        <v>0.14000000000000001</v>
      </c>
      <c r="I300" t="s">
        <v>12</v>
      </c>
      <c r="J300" t="s">
        <v>13</v>
      </c>
      <c r="K300" t="s">
        <v>25</v>
      </c>
      <c r="L300" t="s">
        <v>24</v>
      </c>
    </row>
    <row r="301" spans="1:12" x14ac:dyDescent="0.3">
      <c r="A301" s="12">
        <v>300</v>
      </c>
      <c r="B301" s="2">
        <v>40556</v>
      </c>
      <c r="C301" s="12">
        <v>1</v>
      </c>
      <c r="D301" s="12">
        <v>22</v>
      </c>
      <c r="E301" t="b">
        <v>0</v>
      </c>
      <c r="F301" s="12">
        <v>4</v>
      </c>
      <c r="G301" s="12">
        <v>1</v>
      </c>
      <c r="H301" s="9">
        <v>0.14000000000000001</v>
      </c>
      <c r="I301" t="s">
        <v>12</v>
      </c>
      <c r="J301" t="s">
        <v>13</v>
      </c>
      <c r="K301" t="s">
        <v>25</v>
      </c>
      <c r="L301" t="s">
        <v>24</v>
      </c>
    </row>
    <row r="302" spans="1:12" x14ac:dyDescent="0.3">
      <c r="A302" s="12">
        <v>301</v>
      </c>
      <c r="B302" s="2">
        <v>40556</v>
      </c>
      <c r="C302" s="12">
        <v>1</v>
      </c>
      <c r="D302" s="12">
        <v>23</v>
      </c>
      <c r="E302" t="b">
        <v>0</v>
      </c>
      <c r="F302" s="12">
        <v>4</v>
      </c>
      <c r="G302" s="12">
        <v>1</v>
      </c>
      <c r="H302" s="9">
        <v>0.12</v>
      </c>
      <c r="I302" t="s">
        <v>12</v>
      </c>
      <c r="J302" t="s">
        <v>13</v>
      </c>
      <c r="K302" t="s">
        <v>25</v>
      </c>
      <c r="L302" t="s">
        <v>24</v>
      </c>
    </row>
    <row r="303" spans="1:12" x14ac:dyDescent="0.3">
      <c r="A303" s="12">
        <v>302</v>
      </c>
      <c r="B303" s="2">
        <v>40557</v>
      </c>
      <c r="C303" s="12">
        <v>1</v>
      </c>
      <c r="D303" s="12">
        <v>0</v>
      </c>
      <c r="E303" t="b">
        <v>0</v>
      </c>
      <c r="F303" s="12">
        <v>5</v>
      </c>
      <c r="G303" s="12">
        <v>1</v>
      </c>
      <c r="H303" s="9">
        <v>0.12</v>
      </c>
      <c r="I303" t="s">
        <v>12</v>
      </c>
      <c r="J303" t="s">
        <v>13</v>
      </c>
      <c r="K303" t="s">
        <v>25</v>
      </c>
      <c r="L303" t="s">
        <v>24</v>
      </c>
    </row>
    <row r="304" spans="1:12" x14ac:dyDescent="0.3">
      <c r="A304" s="12">
        <v>303</v>
      </c>
      <c r="B304" s="2">
        <v>40557</v>
      </c>
      <c r="C304" s="12">
        <v>1</v>
      </c>
      <c r="D304" s="12">
        <v>1</v>
      </c>
      <c r="E304" t="b">
        <v>0</v>
      </c>
      <c r="F304" s="12">
        <v>5</v>
      </c>
      <c r="G304" s="12">
        <v>1</v>
      </c>
      <c r="H304" s="9">
        <v>0.1</v>
      </c>
      <c r="I304" t="s">
        <v>12</v>
      </c>
      <c r="J304" t="s">
        <v>13</v>
      </c>
      <c r="K304" t="s">
        <v>25</v>
      </c>
      <c r="L304" t="s">
        <v>24</v>
      </c>
    </row>
    <row r="305" spans="1:12" x14ac:dyDescent="0.3">
      <c r="A305" s="12">
        <v>304</v>
      </c>
      <c r="B305" s="2">
        <v>40557</v>
      </c>
      <c r="C305" s="12">
        <v>1</v>
      </c>
      <c r="D305" s="12">
        <v>2</v>
      </c>
      <c r="E305" t="b">
        <v>0</v>
      </c>
      <c r="F305" s="12">
        <v>5</v>
      </c>
      <c r="G305" s="12">
        <v>1</v>
      </c>
      <c r="H305" s="9">
        <v>0.1</v>
      </c>
      <c r="I305" t="s">
        <v>12</v>
      </c>
      <c r="J305" t="s">
        <v>13</v>
      </c>
      <c r="K305" t="s">
        <v>25</v>
      </c>
      <c r="L305" t="s">
        <v>24</v>
      </c>
    </row>
    <row r="306" spans="1:12" x14ac:dyDescent="0.3">
      <c r="A306" s="12">
        <v>305</v>
      </c>
      <c r="B306" s="2">
        <v>40557</v>
      </c>
      <c r="C306" s="12">
        <v>1</v>
      </c>
      <c r="D306" s="12">
        <v>3</v>
      </c>
      <c r="E306" t="b">
        <v>0</v>
      </c>
      <c r="F306" s="12">
        <v>5</v>
      </c>
      <c r="G306" s="12">
        <v>1</v>
      </c>
      <c r="H306" s="9">
        <v>0.1</v>
      </c>
      <c r="I306" t="s">
        <v>12</v>
      </c>
      <c r="J306" t="s">
        <v>13</v>
      </c>
      <c r="K306" t="s">
        <v>25</v>
      </c>
      <c r="L306" t="s">
        <v>24</v>
      </c>
    </row>
    <row r="307" spans="1:12" x14ac:dyDescent="0.3">
      <c r="A307" s="12">
        <v>306</v>
      </c>
      <c r="B307" s="2">
        <v>40557</v>
      </c>
      <c r="C307" s="12">
        <v>1</v>
      </c>
      <c r="D307" s="12">
        <v>5</v>
      </c>
      <c r="E307" t="b">
        <v>0</v>
      </c>
      <c r="F307" s="12">
        <v>5</v>
      </c>
      <c r="G307" s="12">
        <v>1</v>
      </c>
      <c r="H307" s="9">
        <v>0.1</v>
      </c>
      <c r="I307" t="s">
        <v>12</v>
      </c>
      <c r="J307" t="s">
        <v>13</v>
      </c>
      <c r="K307" t="s">
        <v>25</v>
      </c>
      <c r="L307" t="s">
        <v>24</v>
      </c>
    </row>
    <row r="308" spans="1:12" x14ac:dyDescent="0.3">
      <c r="A308" s="12">
        <v>307</v>
      </c>
      <c r="B308" s="2">
        <v>40557</v>
      </c>
      <c r="C308" s="12">
        <v>1</v>
      </c>
      <c r="D308" s="12">
        <v>6</v>
      </c>
      <c r="E308" t="b">
        <v>0</v>
      </c>
      <c r="F308" s="12">
        <v>5</v>
      </c>
      <c r="G308" s="12">
        <v>1</v>
      </c>
      <c r="H308" s="9">
        <v>0.1</v>
      </c>
      <c r="I308" t="s">
        <v>12</v>
      </c>
      <c r="J308" t="s">
        <v>17</v>
      </c>
      <c r="K308" t="s">
        <v>25</v>
      </c>
      <c r="L308" t="s">
        <v>24</v>
      </c>
    </row>
    <row r="309" spans="1:12" x14ac:dyDescent="0.3">
      <c r="A309" s="12">
        <v>308</v>
      </c>
      <c r="B309" s="2">
        <v>40557</v>
      </c>
      <c r="C309" s="12">
        <v>1</v>
      </c>
      <c r="D309" s="12">
        <v>7</v>
      </c>
      <c r="E309" t="b">
        <v>0</v>
      </c>
      <c r="F309" s="12">
        <v>5</v>
      </c>
      <c r="G309" s="12">
        <v>1</v>
      </c>
      <c r="H309" s="9">
        <v>0.1</v>
      </c>
      <c r="I309" t="s">
        <v>12</v>
      </c>
      <c r="J309" t="s">
        <v>17</v>
      </c>
      <c r="K309" t="s">
        <v>25</v>
      </c>
      <c r="L309" t="s">
        <v>24</v>
      </c>
    </row>
    <row r="310" spans="1:12" x14ac:dyDescent="0.3">
      <c r="A310" s="12">
        <v>309</v>
      </c>
      <c r="B310" s="2">
        <v>40557</v>
      </c>
      <c r="C310" s="12">
        <v>1</v>
      </c>
      <c r="D310" s="12">
        <v>8</v>
      </c>
      <c r="E310" t="b">
        <v>0</v>
      </c>
      <c r="F310" s="12">
        <v>5</v>
      </c>
      <c r="G310" s="12">
        <v>1</v>
      </c>
      <c r="H310" s="9">
        <v>0.12</v>
      </c>
      <c r="I310" t="s">
        <v>12</v>
      </c>
      <c r="J310" t="s">
        <v>17</v>
      </c>
      <c r="K310" t="s">
        <v>25</v>
      </c>
      <c r="L310" t="s">
        <v>24</v>
      </c>
    </row>
    <row r="311" spans="1:12" x14ac:dyDescent="0.3">
      <c r="A311" s="12">
        <v>310</v>
      </c>
      <c r="B311" s="2">
        <v>40557</v>
      </c>
      <c r="C311" s="12">
        <v>1</v>
      </c>
      <c r="D311" s="12">
        <v>9</v>
      </c>
      <c r="E311" t="b">
        <v>0</v>
      </c>
      <c r="F311" s="12">
        <v>5</v>
      </c>
      <c r="G311" s="12">
        <v>1</v>
      </c>
      <c r="H311" s="9">
        <v>0.14000000000000001</v>
      </c>
      <c r="I311" t="s">
        <v>12</v>
      </c>
      <c r="J311" t="s">
        <v>17</v>
      </c>
      <c r="K311" t="s">
        <v>25</v>
      </c>
      <c r="L311" t="s">
        <v>24</v>
      </c>
    </row>
    <row r="312" spans="1:12" x14ac:dyDescent="0.3">
      <c r="A312" s="12">
        <v>311</v>
      </c>
      <c r="B312" s="2">
        <v>40557</v>
      </c>
      <c r="C312" s="12">
        <v>1</v>
      </c>
      <c r="D312" s="12">
        <v>10</v>
      </c>
      <c r="E312" t="b">
        <v>0</v>
      </c>
      <c r="F312" s="12">
        <v>5</v>
      </c>
      <c r="G312" s="12">
        <v>1</v>
      </c>
      <c r="H312" s="9">
        <v>0.18</v>
      </c>
      <c r="I312" t="s">
        <v>12</v>
      </c>
      <c r="J312" t="s">
        <v>17</v>
      </c>
      <c r="K312" t="s">
        <v>14</v>
      </c>
      <c r="L312" t="s">
        <v>24</v>
      </c>
    </row>
    <row r="313" spans="1:12" x14ac:dyDescent="0.3">
      <c r="A313" s="12">
        <v>312</v>
      </c>
      <c r="B313" s="2">
        <v>40557</v>
      </c>
      <c r="C313" s="12">
        <v>1</v>
      </c>
      <c r="D313" s="12">
        <v>11</v>
      </c>
      <c r="E313" t="b">
        <v>0</v>
      </c>
      <c r="F313" s="12">
        <v>5</v>
      </c>
      <c r="G313" s="12">
        <v>1</v>
      </c>
      <c r="H313" s="9">
        <v>0.18</v>
      </c>
      <c r="I313" t="s">
        <v>12</v>
      </c>
      <c r="J313" t="s">
        <v>17</v>
      </c>
      <c r="K313" t="s">
        <v>14</v>
      </c>
      <c r="L313" t="s">
        <v>24</v>
      </c>
    </row>
    <row r="314" spans="1:12" x14ac:dyDescent="0.3">
      <c r="A314" s="12">
        <v>313</v>
      </c>
      <c r="B314" s="2">
        <v>40557</v>
      </c>
      <c r="C314" s="12">
        <v>1</v>
      </c>
      <c r="D314" s="12">
        <v>12</v>
      </c>
      <c r="E314" t="b">
        <v>0</v>
      </c>
      <c r="F314" s="12">
        <v>5</v>
      </c>
      <c r="G314" s="12">
        <v>1</v>
      </c>
      <c r="H314" s="9">
        <v>0.2</v>
      </c>
      <c r="I314" t="s">
        <v>12</v>
      </c>
      <c r="J314" t="s">
        <v>20</v>
      </c>
      <c r="K314" t="s">
        <v>14</v>
      </c>
      <c r="L314" t="s">
        <v>24</v>
      </c>
    </row>
    <row r="315" spans="1:12" x14ac:dyDescent="0.3">
      <c r="A315" s="12">
        <v>314</v>
      </c>
      <c r="B315" s="2">
        <v>40557</v>
      </c>
      <c r="C315" s="12">
        <v>1</v>
      </c>
      <c r="D315" s="12">
        <v>13</v>
      </c>
      <c r="E315" t="b">
        <v>0</v>
      </c>
      <c r="F315" s="12">
        <v>5</v>
      </c>
      <c r="G315" s="12">
        <v>1</v>
      </c>
      <c r="H315" s="9">
        <v>0.22</v>
      </c>
      <c r="I315" t="s">
        <v>12</v>
      </c>
      <c r="J315" t="s">
        <v>20</v>
      </c>
      <c r="K315" t="s">
        <v>14</v>
      </c>
      <c r="L315" t="s">
        <v>24</v>
      </c>
    </row>
    <row r="316" spans="1:12" x14ac:dyDescent="0.3">
      <c r="A316" s="12">
        <v>315</v>
      </c>
      <c r="B316" s="2">
        <v>40557</v>
      </c>
      <c r="C316" s="12">
        <v>1</v>
      </c>
      <c r="D316" s="12">
        <v>14</v>
      </c>
      <c r="E316" t="b">
        <v>0</v>
      </c>
      <c r="F316" s="12">
        <v>5</v>
      </c>
      <c r="G316" s="12">
        <v>1</v>
      </c>
      <c r="H316" s="9">
        <v>0.22</v>
      </c>
      <c r="I316" t="s">
        <v>12</v>
      </c>
      <c r="J316" t="s">
        <v>20</v>
      </c>
      <c r="K316" t="s">
        <v>14</v>
      </c>
      <c r="L316" t="s">
        <v>24</v>
      </c>
    </row>
    <row r="317" spans="1:12" x14ac:dyDescent="0.3">
      <c r="A317" s="12">
        <v>316</v>
      </c>
      <c r="B317" s="2">
        <v>40557</v>
      </c>
      <c r="C317" s="12">
        <v>1</v>
      </c>
      <c r="D317" s="12">
        <v>15</v>
      </c>
      <c r="E317" t="b">
        <v>0</v>
      </c>
      <c r="F317" s="12">
        <v>5</v>
      </c>
      <c r="G317" s="12">
        <v>1</v>
      </c>
      <c r="H317" s="9">
        <v>0.24</v>
      </c>
      <c r="I317" t="s">
        <v>12</v>
      </c>
      <c r="J317" t="s">
        <v>20</v>
      </c>
      <c r="K317" t="s">
        <v>14</v>
      </c>
      <c r="L317" t="s">
        <v>24</v>
      </c>
    </row>
    <row r="318" spans="1:12" x14ac:dyDescent="0.3">
      <c r="A318" s="12">
        <v>317</v>
      </c>
      <c r="B318" s="2">
        <v>40557</v>
      </c>
      <c r="C318" s="12">
        <v>1</v>
      </c>
      <c r="D318" s="12">
        <v>16</v>
      </c>
      <c r="E318" t="b">
        <v>0</v>
      </c>
      <c r="F318" s="12">
        <v>5</v>
      </c>
      <c r="G318" s="12">
        <v>1</v>
      </c>
      <c r="H318" s="9">
        <v>0.22</v>
      </c>
      <c r="I318" t="s">
        <v>12</v>
      </c>
      <c r="J318" t="s">
        <v>20</v>
      </c>
      <c r="K318" t="s">
        <v>14</v>
      </c>
      <c r="L318" t="s">
        <v>24</v>
      </c>
    </row>
    <row r="319" spans="1:12" x14ac:dyDescent="0.3">
      <c r="A319" s="12">
        <v>318</v>
      </c>
      <c r="B319" s="2">
        <v>40557</v>
      </c>
      <c r="C319" s="12">
        <v>1</v>
      </c>
      <c r="D319" s="12">
        <v>17</v>
      </c>
      <c r="E319" t="b">
        <v>0</v>
      </c>
      <c r="F319" s="12">
        <v>5</v>
      </c>
      <c r="G319" s="12">
        <v>1</v>
      </c>
      <c r="H319" s="9">
        <v>0.22</v>
      </c>
      <c r="I319" t="s">
        <v>12</v>
      </c>
      <c r="J319" t="s">
        <v>22</v>
      </c>
      <c r="K319" t="s">
        <v>14</v>
      </c>
      <c r="L319" t="s">
        <v>24</v>
      </c>
    </row>
    <row r="320" spans="1:12" x14ac:dyDescent="0.3">
      <c r="A320" s="12">
        <v>319</v>
      </c>
      <c r="B320" s="2">
        <v>40557</v>
      </c>
      <c r="C320" s="12">
        <v>1</v>
      </c>
      <c r="D320" s="12">
        <v>18</v>
      </c>
      <c r="E320" t="b">
        <v>0</v>
      </c>
      <c r="F320" s="12">
        <v>5</v>
      </c>
      <c r="G320" s="12">
        <v>1</v>
      </c>
      <c r="H320" s="9">
        <v>0.2</v>
      </c>
      <c r="I320" t="s">
        <v>12</v>
      </c>
      <c r="J320" t="s">
        <v>22</v>
      </c>
      <c r="K320" t="s">
        <v>14</v>
      </c>
      <c r="L320" t="s">
        <v>24</v>
      </c>
    </row>
    <row r="321" spans="1:12" x14ac:dyDescent="0.3">
      <c r="A321" s="12">
        <v>320</v>
      </c>
      <c r="B321" s="2">
        <v>40557</v>
      </c>
      <c r="C321" s="12">
        <v>1</v>
      </c>
      <c r="D321" s="12">
        <v>19</v>
      </c>
      <c r="E321" t="b">
        <v>0</v>
      </c>
      <c r="F321" s="12">
        <v>5</v>
      </c>
      <c r="G321" s="12">
        <v>1</v>
      </c>
      <c r="H321" s="9">
        <v>0.16</v>
      </c>
      <c r="I321" t="s">
        <v>12</v>
      </c>
      <c r="J321" t="s">
        <v>22</v>
      </c>
      <c r="K321" t="s">
        <v>14</v>
      </c>
      <c r="L321" t="s">
        <v>24</v>
      </c>
    </row>
    <row r="322" spans="1:12" x14ac:dyDescent="0.3">
      <c r="A322" s="12">
        <v>321</v>
      </c>
      <c r="B322" s="2">
        <v>40557</v>
      </c>
      <c r="C322" s="12">
        <v>1</v>
      </c>
      <c r="D322" s="12">
        <v>20</v>
      </c>
      <c r="E322" t="b">
        <v>0</v>
      </c>
      <c r="F322" s="12">
        <v>5</v>
      </c>
      <c r="G322" s="12">
        <v>1</v>
      </c>
      <c r="H322" s="9">
        <v>0.18</v>
      </c>
      <c r="I322" t="s">
        <v>12</v>
      </c>
      <c r="J322" t="s">
        <v>22</v>
      </c>
      <c r="K322" t="s">
        <v>14</v>
      </c>
      <c r="L322" t="s">
        <v>24</v>
      </c>
    </row>
    <row r="323" spans="1:12" x14ac:dyDescent="0.3">
      <c r="A323" s="12">
        <v>322</v>
      </c>
      <c r="B323" s="2">
        <v>40557</v>
      </c>
      <c r="C323" s="12">
        <v>1</v>
      </c>
      <c r="D323" s="12">
        <v>21</v>
      </c>
      <c r="E323" t="b">
        <v>0</v>
      </c>
      <c r="F323" s="12">
        <v>5</v>
      </c>
      <c r="G323" s="12">
        <v>1</v>
      </c>
      <c r="H323" s="9">
        <v>0.16</v>
      </c>
      <c r="I323" t="s">
        <v>12</v>
      </c>
      <c r="J323" t="s">
        <v>13</v>
      </c>
      <c r="K323" t="s">
        <v>14</v>
      </c>
      <c r="L323" t="s">
        <v>24</v>
      </c>
    </row>
    <row r="324" spans="1:12" x14ac:dyDescent="0.3">
      <c r="A324" s="12">
        <v>323</v>
      </c>
      <c r="B324" s="2">
        <v>40557</v>
      </c>
      <c r="C324" s="12">
        <v>1</v>
      </c>
      <c r="D324" s="12">
        <v>22</v>
      </c>
      <c r="E324" t="b">
        <v>0</v>
      </c>
      <c r="F324" s="12">
        <v>5</v>
      </c>
      <c r="G324" s="12">
        <v>2</v>
      </c>
      <c r="H324" s="9">
        <v>0.16</v>
      </c>
      <c r="I324" t="s">
        <v>16</v>
      </c>
      <c r="J324" t="s">
        <v>13</v>
      </c>
      <c r="K324" t="s">
        <v>14</v>
      </c>
      <c r="L324" t="s">
        <v>24</v>
      </c>
    </row>
    <row r="325" spans="1:12" x14ac:dyDescent="0.3">
      <c r="A325" s="12">
        <v>324</v>
      </c>
      <c r="B325" s="2">
        <v>40557</v>
      </c>
      <c r="C325" s="12">
        <v>1</v>
      </c>
      <c r="D325" s="12">
        <v>23</v>
      </c>
      <c r="E325" t="b">
        <v>0</v>
      </c>
      <c r="F325" s="12">
        <v>5</v>
      </c>
      <c r="G325" s="12">
        <v>2</v>
      </c>
      <c r="H325" s="9">
        <v>0.18</v>
      </c>
      <c r="I325" t="s">
        <v>16</v>
      </c>
      <c r="J325" t="s">
        <v>13</v>
      </c>
      <c r="K325" t="s">
        <v>14</v>
      </c>
      <c r="L325" t="s">
        <v>24</v>
      </c>
    </row>
    <row r="326" spans="1:12" x14ac:dyDescent="0.3">
      <c r="A326" s="12">
        <v>325</v>
      </c>
      <c r="B326" s="2">
        <v>40558</v>
      </c>
      <c r="C326" s="12">
        <v>1</v>
      </c>
      <c r="D326" s="12">
        <v>0</v>
      </c>
      <c r="E326" t="b">
        <v>0</v>
      </c>
      <c r="F326" s="12">
        <v>6</v>
      </c>
      <c r="G326" s="12">
        <v>1</v>
      </c>
      <c r="H326" s="9">
        <v>0.18</v>
      </c>
      <c r="I326" t="s">
        <v>12</v>
      </c>
      <c r="J326" t="s">
        <v>13</v>
      </c>
      <c r="K326" t="s">
        <v>14</v>
      </c>
      <c r="L326" t="s">
        <v>15</v>
      </c>
    </row>
    <row r="327" spans="1:12" x14ac:dyDescent="0.3">
      <c r="A327" s="12">
        <v>326</v>
      </c>
      <c r="B327" s="2">
        <v>40558</v>
      </c>
      <c r="C327" s="12">
        <v>1</v>
      </c>
      <c r="D327" s="12">
        <v>1</v>
      </c>
      <c r="E327" t="b">
        <v>0</v>
      </c>
      <c r="F327" s="12">
        <v>6</v>
      </c>
      <c r="G327" s="12">
        <v>2</v>
      </c>
      <c r="H327" s="9">
        <v>0.16</v>
      </c>
      <c r="I327" t="s">
        <v>16</v>
      </c>
      <c r="J327" t="s">
        <v>13</v>
      </c>
      <c r="K327" t="s">
        <v>14</v>
      </c>
      <c r="L327" t="s">
        <v>15</v>
      </c>
    </row>
    <row r="328" spans="1:12" x14ac:dyDescent="0.3">
      <c r="A328" s="12">
        <v>327</v>
      </c>
      <c r="B328" s="2">
        <v>40558</v>
      </c>
      <c r="C328" s="12">
        <v>1</v>
      </c>
      <c r="D328" s="12">
        <v>2</v>
      </c>
      <c r="E328" t="b">
        <v>0</v>
      </c>
      <c r="F328" s="12">
        <v>6</v>
      </c>
      <c r="G328" s="12">
        <v>2</v>
      </c>
      <c r="H328" s="9">
        <v>0.16</v>
      </c>
      <c r="I328" t="s">
        <v>16</v>
      </c>
      <c r="J328" t="s">
        <v>13</v>
      </c>
      <c r="K328" t="s">
        <v>14</v>
      </c>
      <c r="L328" t="s">
        <v>15</v>
      </c>
    </row>
    <row r="329" spans="1:12" x14ac:dyDescent="0.3">
      <c r="A329" s="12">
        <v>328</v>
      </c>
      <c r="B329" s="2">
        <v>40558</v>
      </c>
      <c r="C329" s="12">
        <v>1</v>
      </c>
      <c r="D329" s="12">
        <v>3</v>
      </c>
      <c r="E329" t="b">
        <v>0</v>
      </c>
      <c r="F329" s="12">
        <v>6</v>
      </c>
      <c r="G329" s="12">
        <v>2</v>
      </c>
      <c r="H329" s="9">
        <v>0.16</v>
      </c>
      <c r="I329" t="s">
        <v>16</v>
      </c>
      <c r="J329" t="s">
        <v>13</v>
      </c>
      <c r="K329" t="s">
        <v>14</v>
      </c>
      <c r="L329" t="s">
        <v>15</v>
      </c>
    </row>
    <row r="330" spans="1:12" x14ac:dyDescent="0.3">
      <c r="A330" s="12">
        <v>329</v>
      </c>
      <c r="B330" s="2">
        <v>40558</v>
      </c>
      <c r="C330" s="12">
        <v>1</v>
      </c>
      <c r="D330" s="12">
        <v>4</v>
      </c>
      <c r="E330" t="b">
        <v>0</v>
      </c>
      <c r="F330" s="12">
        <v>6</v>
      </c>
      <c r="G330" s="12">
        <v>2</v>
      </c>
      <c r="H330" s="9">
        <v>0.16</v>
      </c>
      <c r="I330" t="s">
        <v>16</v>
      </c>
      <c r="J330" t="s">
        <v>13</v>
      </c>
      <c r="K330" t="s">
        <v>14</v>
      </c>
      <c r="L330" t="s">
        <v>15</v>
      </c>
    </row>
    <row r="331" spans="1:12" x14ac:dyDescent="0.3">
      <c r="A331" s="12">
        <v>330</v>
      </c>
      <c r="B331" s="2">
        <v>40558</v>
      </c>
      <c r="C331" s="12">
        <v>1</v>
      </c>
      <c r="D331" s="12">
        <v>5</v>
      </c>
      <c r="E331" t="b">
        <v>0</v>
      </c>
      <c r="F331" s="12">
        <v>6</v>
      </c>
      <c r="G331" s="12">
        <v>1</v>
      </c>
      <c r="H331" s="9">
        <v>0.16</v>
      </c>
      <c r="I331" t="s">
        <v>12</v>
      </c>
      <c r="J331" t="s">
        <v>13</v>
      </c>
      <c r="K331" t="s">
        <v>14</v>
      </c>
      <c r="L331" t="s">
        <v>15</v>
      </c>
    </row>
    <row r="332" spans="1:12" x14ac:dyDescent="0.3">
      <c r="A332" s="12">
        <v>331</v>
      </c>
      <c r="B332" s="2">
        <v>40558</v>
      </c>
      <c r="C332" s="12">
        <v>1</v>
      </c>
      <c r="D332" s="12">
        <v>6</v>
      </c>
      <c r="E332" t="b">
        <v>0</v>
      </c>
      <c r="F332" s="12">
        <v>6</v>
      </c>
      <c r="G332" s="12">
        <v>1</v>
      </c>
      <c r="H332" s="9">
        <v>0.14000000000000001</v>
      </c>
      <c r="I332" t="s">
        <v>12</v>
      </c>
      <c r="J332" t="s">
        <v>17</v>
      </c>
      <c r="K332" t="s">
        <v>25</v>
      </c>
      <c r="L332" t="s">
        <v>15</v>
      </c>
    </row>
    <row r="333" spans="1:12" x14ac:dyDescent="0.3">
      <c r="A333" s="12">
        <v>332</v>
      </c>
      <c r="B333" s="2">
        <v>40558</v>
      </c>
      <c r="C333" s="12">
        <v>1</v>
      </c>
      <c r="D333" s="12">
        <v>7</v>
      </c>
      <c r="E333" t="b">
        <v>0</v>
      </c>
      <c r="F333" s="12">
        <v>6</v>
      </c>
      <c r="G333" s="12">
        <v>1</v>
      </c>
      <c r="H333" s="9">
        <v>0.14000000000000001</v>
      </c>
      <c r="I333" t="s">
        <v>12</v>
      </c>
      <c r="J333" t="s">
        <v>17</v>
      </c>
      <c r="K333" t="s">
        <v>25</v>
      </c>
      <c r="L333" t="s">
        <v>15</v>
      </c>
    </row>
    <row r="334" spans="1:12" x14ac:dyDescent="0.3">
      <c r="A334" s="12">
        <v>333</v>
      </c>
      <c r="B334" s="2">
        <v>40558</v>
      </c>
      <c r="C334" s="12">
        <v>1</v>
      </c>
      <c r="D334" s="12">
        <v>8</v>
      </c>
      <c r="E334" t="b">
        <v>0</v>
      </c>
      <c r="F334" s="12">
        <v>6</v>
      </c>
      <c r="G334" s="12">
        <v>1</v>
      </c>
      <c r="H334" s="9">
        <v>0.14000000000000001</v>
      </c>
      <c r="I334" t="s">
        <v>12</v>
      </c>
      <c r="J334" t="s">
        <v>17</v>
      </c>
      <c r="K334" t="s">
        <v>25</v>
      </c>
      <c r="L334" t="s">
        <v>15</v>
      </c>
    </row>
    <row r="335" spans="1:12" x14ac:dyDescent="0.3">
      <c r="A335" s="12">
        <v>334</v>
      </c>
      <c r="B335" s="2">
        <v>40558</v>
      </c>
      <c r="C335" s="12">
        <v>1</v>
      </c>
      <c r="D335" s="12">
        <v>9</v>
      </c>
      <c r="E335" t="b">
        <v>0</v>
      </c>
      <c r="F335" s="12">
        <v>6</v>
      </c>
      <c r="G335" s="12">
        <v>1</v>
      </c>
      <c r="H335" s="9">
        <v>0.16</v>
      </c>
      <c r="I335" t="s">
        <v>12</v>
      </c>
      <c r="J335" t="s">
        <v>17</v>
      </c>
      <c r="K335" t="s">
        <v>14</v>
      </c>
      <c r="L335" t="s">
        <v>15</v>
      </c>
    </row>
    <row r="336" spans="1:12" x14ac:dyDescent="0.3">
      <c r="A336" s="12">
        <v>335</v>
      </c>
      <c r="B336" s="2">
        <v>40558</v>
      </c>
      <c r="C336" s="12">
        <v>1</v>
      </c>
      <c r="D336" s="12">
        <v>10</v>
      </c>
      <c r="E336" t="b">
        <v>0</v>
      </c>
      <c r="F336" s="12">
        <v>6</v>
      </c>
      <c r="G336" s="12">
        <v>1</v>
      </c>
      <c r="H336" s="9">
        <v>0.18</v>
      </c>
      <c r="I336" t="s">
        <v>12</v>
      </c>
      <c r="J336" t="s">
        <v>17</v>
      </c>
      <c r="K336" t="s">
        <v>14</v>
      </c>
      <c r="L336" t="s">
        <v>15</v>
      </c>
    </row>
    <row r="337" spans="1:12" x14ac:dyDescent="0.3">
      <c r="A337" s="12">
        <v>336</v>
      </c>
      <c r="B337" s="2">
        <v>40558</v>
      </c>
      <c r="C337" s="12">
        <v>1</v>
      </c>
      <c r="D337" s="12">
        <v>11</v>
      </c>
      <c r="E337" t="b">
        <v>0</v>
      </c>
      <c r="F337" s="12">
        <v>6</v>
      </c>
      <c r="G337" s="12">
        <v>1</v>
      </c>
      <c r="H337" s="9">
        <v>0.2</v>
      </c>
      <c r="I337" t="s">
        <v>12</v>
      </c>
      <c r="J337" t="s">
        <v>17</v>
      </c>
      <c r="K337" t="s">
        <v>14</v>
      </c>
      <c r="L337" t="s">
        <v>15</v>
      </c>
    </row>
    <row r="338" spans="1:12" x14ac:dyDescent="0.3">
      <c r="A338" s="12">
        <v>337</v>
      </c>
      <c r="B338" s="2">
        <v>40558</v>
      </c>
      <c r="C338" s="12">
        <v>1</v>
      </c>
      <c r="D338" s="12">
        <v>12</v>
      </c>
      <c r="E338" t="b">
        <v>0</v>
      </c>
      <c r="F338" s="12">
        <v>6</v>
      </c>
      <c r="G338" s="12">
        <v>1</v>
      </c>
      <c r="H338" s="9">
        <v>0.24</v>
      </c>
      <c r="I338" t="s">
        <v>12</v>
      </c>
      <c r="J338" t="s">
        <v>20</v>
      </c>
      <c r="K338" t="s">
        <v>14</v>
      </c>
      <c r="L338" t="s">
        <v>15</v>
      </c>
    </row>
    <row r="339" spans="1:12" x14ac:dyDescent="0.3">
      <c r="A339" s="12">
        <v>338</v>
      </c>
      <c r="B339" s="2">
        <v>40558</v>
      </c>
      <c r="C339" s="12">
        <v>1</v>
      </c>
      <c r="D339" s="12">
        <v>13</v>
      </c>
      <c r="E339" t="b">
        <v>0</v>
      </c>
      <c r="F339" s="12">
        <v>6</v>
      </c>
      <c r="G339" s="12">
        <v>1</v>
      </c>
      <c r="H339" s="9">
        <v>0.28000000000000003</v>
      </c>
      <c r="I339" t="s">
        <v>12</v>
      </c>
      <c r="J339" t="s">
        <v>20</v>
      </c>
      <c r="K339" t="s">
        <v>18</v>
      </c>
      <c r="L339" t="s">
        <v>15</v>
      </c>
    </row>
    <row r="340" spans="1:12" x14ac:dyDescent="0.3">
      <c r="A340" s="12">
        <v>339</v>
      </c>
      <c r="B340" s="2">
        <v>40558</v>
      </c>
      <c r="C340" s="12">
        <v>1</v>
      </c>
      <c r="D340" s="12">
        <v>14</v>
      </c>
      <c r="E340" t="b">
        <v>0</v>
      </c>
      <c r="F340" s="12">
        <v>6</v>
      </c>
      <c r="G340" s="12">
        <v>1</v>
      </c>
      <c r="H340" s="9">
        <v>0.3</v>
      </c>
      <c r="I340" t="s">
        <v>12</v>
      </c>
      <c r="J340" t="s">
        <v>20</v>
      </c>
      <c r="K340" t="s">
        <v>18</v>
      </c>
      <c r="L340" t="s">
        <v>15</v>
      </c>
    </row>
    <row r="341" spans="1:12" x14ac:dyDescent="0.3">
      <c r="A341" s="12">
        <v>340</v>
      </c>
      <c r="B341" s="2">
        <v>40558</v>
      </c>
      <c r="C341" s="12">
        <v>1</v>
      </c>
      <c r="D341" s="12">
        <v>15</v>
      </c>
      <c r="E341" t="b">
        <v>0</v>
      </c>
      <c r="F341" s="12">
        <v>6</v>
      </c>
      <c r="G341" s="12">
        <v>2</v>
      </c>
      <c r="H341" s="9">
        <v>0.32</v>
      </c>
      <c r="I341" t="s">
        <v>16</v>
      </c>
      <c r="J341" t="s">
        <v>20</v>
      </c>
      <c r="K341" t="s">
        <v>18</v>
      </c>
      <c r="L341" t="s">
        <v>15</v>
      </c>
    </row>
    <row r="342" spans="1:12" x14ac:dyDescent="0.3">
      <c r="A342" s="12">
        <v>341</v>
      </c>
      <c r="B342" s="2">
        <v>40558</v>
      </c>
      <c r="C342" s="12">
        <v>1</v>
      </c>
      <c r="D342" s="12">
        <v>16</v>
      </c>
      <c r="E342" t="b">
        <v>0</v>
      </c>
      <c r="F342" s="12">
        <v>6</v>
      </c>
      <c r="G342" s="12">
        <v>2</v>
      </c>
      <c r="H342" s="9">
        <v>0.34</v>
      </c>
      <c r="I342" t="s">
        <v>16</v>
      </c>
      <c r="J342" t="s">
        <v>20</v>
      </c>
      <c r="K342" t="s">
        <v>18</v>
      </c>
      <c r="L342" t="s">
        <v>15</v>
      </c>
    </row>
    <row r="343" spans="1:12" x14ac:dyDescent="0.3">
      <c r="A343" s="12">
        <v>342</v>
      </c>
      <c r="B343" s="2">
        <v>40558</v>
      </c>
      <c r="C343" s="12">
        <v>1</v>
      </c>
      <c r="D343" s="12">
        <v>17</v>
      </c>
      <c r="E343" t="b">
        <v>0</v>
      </c>
      <c r="F343" s="12">
        <v>6</v>
      </c>
      <c r="G343" s="12">
        <v>2</v>
      </c>
      <c r="H343" s="9">
        <v>0.32</v>
      </c>
      <c r="I343" t="s">
        <v>16</v>
      </c>
      <c r="J343" t="s">
        <v>22</v>
      </c>
      <c r="K343" t="s">
        <v>18</v>
      </c>
      <c r="L343" t="s">
        <v>15</v>
      </c>
    </row>
    <row r="344" spans="1:12" x14ac:dyDescent="0.3">
      <c r="A344" s="12">
        <v>343</v>
      </c>
      <c r="B344" s="2">
        <v>40558</v>
      </c>
      <c r="C344" s="12">
        <v>1</v>
      </c>
      <c r="D344" s="12">
        <v>18</v>
      </c>
      <c r="E344" t="b">
        <v>0</v>
      </c>
      <c r="F344" s="12">
        <v>6</v>
      </c>
      <c r="G344" s="12">
        <v>2</v>
      </c>
      <c r="H344" s="9">
        <v>0.3</v>
      </c>
      <c r="I344" t="s">
        <v>16</v>
      </c>
      <c r="J344" t="s">
        <v>22</v>
      </c>
      <c r="K344" t="s">
        <v>18</v>
      </c>
      <c r="L344" t="s">
        <v>15</v>
      </c>
    </row>
    <row r="345" spans="1:12" x14ac:dyDescent="0.3">
      <c r="A345" s="12">
        <v>344</v>
      </c>
      <c r="B345" s="2">
        <v>40558</v>
      </c>
      <c r="C345" s="12">
        <v>1</v>
      </c>
      <c r="D345" s="12">
        <v>19</v>
      </c>
      <c r="E345" t="b">
        <v>0</v>
      </c>
      <c r="F345" s="12">
        <v>6</v>
      </c>
      <c r="G345" s="12">
        <v>2</v>
      </c>
      <c r="H345" s="9">
        <v>0.32</v>
      </c>
      <c r="I345" t="s">
        <v>16</v>
      </c>
      <c r="J345" t="s">
        <v>22</v>
      </c>
      <c r="K345" t="s">
        <v>18</v>
      </c>
      <c r="L345" t="s">
        <v>15</v>
      </c>
    </row>
    <row r="346" spans="1:12" x14ac:dyDescent="0.3">
      <c r="A346" s="12">
        <v>345</v>
      </c>
      <c r="B346" s="2">
        <v>40558</v>
      </c>
      <c r="C346" s="12">
        <v>1</v>
      </c>
      <c r="D346" s="12">
        <v>20</v>
      </c>
      <c r="E346" t="b">
        <v>0</v>
      </c>
      <c r="F346" s="12">
        <v>6</v>
      </c>
      <c r="G346" s="12">
        <v>2</v>
      </c>
      <c r="H346" s="9">
        <v>0.32</v>
      </c>
      <c r="I346" t="s">
        <v>16</v>
      </c>
      <c r="J346" t="s">
        <v>22</v>
      </c>
      <c r="K346" t="s">
        <v>18</v>
      </c>
      <c r="L346" t="s">
        <v>15</v>
      </c>
    </row>
    <row r="347" spans="1:12" x14ac:dyDescent="0.3">
      <c r="A347" s="12">
        <v>346</v>
      </c>
      <c r="B347" s="2">
        <v>40558</v>
      </c>
      <c r="C347" s="12">
        <v>1</v>
      </c>
      <c r="D347" s="12">
        <v>21</v>
      </c>
      <c r="E347" t="b">
        <v>0</v>
      </c>
      <c r="F347" s="12">
        <v>6</v>
      </c>
      <c r="G347" s="12">
        <v>2</v>
      </c>
      <c r="H347" s="9">
        <v>0.32</v>
      </c>
      <c r="I347" t="s">
        <v>16</v>
      </c>
      <c r="J347" t="s">
        <v>13</v>
      </c>
      <c r="K347" t="s">
        <v>18</v>
      </c>
      <c r="L347" t="s">
        <v>15</v>
      </c>
    </row>
    <row r="348" spans="1:12" x14ac:dyDescent="0.3">
      <c r="A348" s="12">
        <v>347</v>
      </c>
      <c r="B348" s="2">
        <v>40558</v>
      </c>
      <c r="C348" s="12">
        <v>1</v>
      </c>
      <c r="D348" s="12">
        <v>22</v>
      </c>
      <c r="E348" t="b">
        <v>0</v>
      </c>
      <c r="F348" s="12">
        <v>6</v>
      </c>
      <c r="G348" s="12">
        <v>2</v>
      </c>
      <c r="H348" s="9">
        <v>0.3</v>
      </c>
      <c r="I348" t="s">
        <v>16</v>
      </c>
      <c r="J348" t="s">
        <v>13</v>
      </c>
      <c r="K348" t="s">
        <v>18</v>
      </c>
      <c r="L348" t="s">
        <v>15</v>
      </c>
    </row>
    <row r="349" spans="1:12" x14ac:dyDescent="0.3">
      <c r="A349" s="12">
        <v>348</v>
      </c>
      <c r="B349" s="2">
        <v>40558</v>
      </c>
      <c r="C349" s="12">
        <v>1</v>
      </c>
      <c r="D349" s="12">
        <v>23</v>
      </c>
      <c r="E349" t="b">
        <v>0</v>
      </c>
      <c r="F349" s="12">
        <v>6</v>
      </c>
      <c r="G349" s="12">
        <v>1</v>
      </c>
      <c r="H349" s="9">
        <v>0.3</v>
      </c>
      <c r="I349" t="s">
        <v>12</v>
      </c>
      <c r="J349" t="s">
        <v>13</v>
      </c>
      <c r="K349" t="s">
        <v>18</v>
      </c>
      <c r="L349" t="s">
        <v>15</v>
      </c>
    </row>
    <row r="350" spans="1:12" x14ac:dyDescent="0.3">
      <c r="A350" s="12">
        <v>349</v>
      </c>
      <c r="B350" s="2">
        <v>40559</v>
      </c>
      <c r="C350" s="12">
        <v>1</v>
      </c>
      <c r="D350" s="12">
        <v>0</v>
      </c>
      <c r="E350" t="b">
        <v>0</v>
      </c>
      <c r="F350" s="12">
        <v>0</v>
      </c>
      <c r="G350" s="12">
        <v>1</v>
      </c>
      <c r="H350" s="9">
        <v>0.26</v>
      </c>
      <c r="I350" t="s">
        <v>12</v>
      </c>
      <c r="J350" t="s">
        <v>13</v>
      </c>
      <c r="K350" t="s">
        <v>18</v>
      </c>
      <c r="L350" t="s">
        <v>15</v>
      </c>
    </row>
    <row r="351" spans="1:12" x14ac:dyDescent="0.3">
      <c r="A351" s="12">
        <v>350</v>
      </c>
      <c r="B351" s="2">
        <v>40559</v>
      </c>
      <c r="C351" s="12">
        <v>1</v>
      </c>
      <c r="D351" s="12">
        <v>1</v>
      </c>
      <c r="E351" t="b">
        <v>0</v>
      </c>
      <c r="F351" s="12">
        <v>0</v>
      </c>
      <c r="G351" s="12">
        <v>1</v>
      </c>
      <c r="H351" s="9">
        <v>0.26</v>
      </c>
      <c r="I351" t="s">
        <v>12</v>
      </c>
      <c r="J351" t="s">
        <v>13</v>
      </c>
      <c r="K351" t="s">
        <v>18</v>
      </c>
      <c r="L351" t="s">
        <v>15</v>
      </c>
    </row>
    <row r="352" spans="1:12" x14ac:dyDescent="0.3">
      <c r="A352" s="12">
        <v>351</v>
      </c>
      <c r="B352" s="2">
        <v>40559</v>
      </c>
      <c r="C352" s="12">
        <v>1</v>
      </c>
      <c r="D352" s="12">
        <v>2</v>
      </c>
      <c r="E352" t="b">
        <v>0</v>
      </c>
      <c r="F352" s="12">
        <v>0</v>
      </c>
      <c r="G352" s="12">
        <v>1</v>
      </c>
      <c r="H352" s="9">
        <v>0.26</v>
      </c>
      <c r="I352" t="s">
        <v>12</v>
      </c>
      <c r="J352" t="s">
        <v>13</v>
      </c>
      <c r="K352" t="s">
        <v>18</v>
      </c>
      <c r="L352" t="s">
        <v>15</v>
      </c>
    </row>
    <row r="353" spans="1:12" x14ac:dyDescent="0.3">
      <c r="A353" s="12">
        <v>352</v>
      </c>
      <c r="B353" s="2">
        <v>40559</v>
      </c>
      <c r="C353" s="12">
        <v>1</v>
      </c>
      <c r="D353" s="12">
        <v>3</v>
      </c>
      <c r="E353" t="b">
        <v>0</v>
      </c>
      <c r="F353" s="12">
        <v>0</v>
      </c>
      <c r="G353" s="12">
        <v>1</v>
      </c>
      <c r="H353" s="9">
        <v>0.22</v>
      </c>
      <c r="I353" t="s">
        <v>12</v>
      </c>
      <c r="J353" t="s">
        <v>13</v>
      </c>
      <c r="K353" t="s">
        <v>14</v>
      </c>
      <c r="L353" t="s">
        <v>15</v>
      </c>
    </row>
    <row r="354" spans="1:12" x14ac:dyDescent="0.3">
      <c r="A354" s="12">
        <v>353</v>
      </c>
      <c r="B354" s="2">
        <v>40559</v>
      </c>
      <c r="C354" s="12">
        <v>1</v>
      </c>
      <c r="D354" s="12">
        <v>4</v>
      </c>
      <c r="E354" t="b">
        <v>0</v>
      </c>
      <c r="F354" s="12">
        <v>0</v>
      </c>
      <c r="G354" s="12">
        <v>1</v>
      </c>
      <c r="H354" s="9">
        <v>0.26</v>
      </c>
      <c r="I354" t="s">
        <v>12</v>
      </c>
      <c r="J354" t="s">
        <v>13</v>
      </c>
      <c r="K354" t="s">
        <v>18</v>
      </c>
      <c r="L354" t="s">
        <v>15</v>
      </c>
    </row>
    <row r="355" spans="1:12" x14ac:dyDescent="0.3">
      <c r="A355" s="12">
        <v>354</v>
      </c>
      <c r="B355" s="2">
        <v>40559</v>
      </c>
      <c r="C355" s="12">
        <v>1</v>
      </c>
      <c r="D355" s="12">
        <v>5</v>
      </c>
      <c r="E355" t="b">
        <v>0</v>
      </c>
      <c r="F355" s="12">
        <v>0</v>
      </c>
      <c r="G355" s="12">
        <v>2</v>
      </c>
      <c r="H355" s="9">
        <v>0.26</v>
      </c>
      <c r="I355" t="s">
        <v>16</v>
      </c>
      <c r="J355" t="s">
        <v>13</v>
      </c>
      <c r="K355" t="s">
        <v>18</v>
      </c>
      <c r="L355" t="s">
        <v>15</v>
      </c>
    </row>
    <row r="356" spans="1:12" x14ac:dyDescent="0.3">
      <c r="A356" s="12">
        <v>355</v>
      </c>
      <c r="B356" s="2">
        <v>40559</v>
      </c>
      <c r="C356" s="12">
        <v>1</v>
      </c>
      <c r="D356" s="12">
        <v>6</v>
      </c>
      <c r="E356" t="b">
        <v>0</v>
      </c>
      <c r="F356" s="12">
        <v>0</v>
      </c>
      <c r="G356" s="12">
        <v>2</v>
      </c>
      <c r="H356" s="9">
        <v>0.26</v>
      </c>
      <c r="I356" t="s">
        <v>16</v>
      </c>
      <c r="J356" t="s">
        <v>17</v>
      </c>
      <c r="K356" t="s">
        <v>18</v>
      </c>
      <c r="L356" t="s">
        <v>15</v>
      </c>
    </row>
    <row r="357" spans="1:12" x14ac:dyDescent="0.3">
      <c r="A357" s="12">
        <v>356</v>
      </c>
      <c r="B357" s="2">
        <v>40559</v>
      </c>
      <c r="C357" s="12">
        <v>1</v>
      </c>
      <c r="D357" s="12">
        <v>7</v>
      </c>
      <c r="E357" t="b">
        <v>0</v>
      </c>
      <c r="F357" s="12">
        <v>0</v>
      </c>
      <c r="G357" s="12">
        <v>2</v>
      </c>
      <c r="H357" s="9">
        <v>0.24</v>
      </c>
      <c r="I357" t="s">
        <v>16</v>
      </c>
      <c r="J357" t="s">
        <v>17</v>
      </c>
      <c r="K357" t="s">
        <v>14</v>
      </c>
      <c r="L357" t="s">
        <v>15</v>
      </c>
    </row>
    <row r="358" spans="1:12" x14ac:dyDescent="0.3">
      <c r="A358" s="12">
        <v>357</v>
      </c>
      <c r="B358" s="2">
        <v>40559</v>
      </c>
      <c r="C358" s="12">
        <v>1</v>
      </c>
      <c r="D358" s="12">
        <v>8</v>
      </c>
      <c r="E358" t="b">
        <v>0</v>
      </c>
      <c r="F358" s="12">
        <v>0</v>
      </c>
      <c r="G358" s="12">
        <v>1</v>
      </c>
      <c r="H358" s="9">
        <v>0.22</v>
      </c>
      <c r="I358" t="s">
        <v>12</v>
      </c>
      <c r="J358" t="s">
        <v>17</v>
      </c>
      <c r="K358" t="s">
        <v>14</v>
      </c>
      <c r="L358" t="s">
        <v>15</v>
      </c>
    </row>
    <row r="359" spans="1:12" x14ac:dyDescent="0.3">
      <c r="A359" s="12">
        <v>358</v>
      </c>
      <c r="B359" s="2">
        <v>40559</v>
      </c>
      <c r="C359" s="12">
        <v>1</v>
      </c>
      <c r="D359" s="12">
        <v>9</v>
      </c>
      <c r="E359" t="b">
        <v>0</v>
      </c>
      <c r="F359" s="12">
        <v>0</v>
      </c>
      <c r="G359" s="12">
        <v>1</v>
      </c>
      <c r="H359" s="9">
        <v>0.22</v>
      </c>
      <c r="I359" t="s">
        <v>12</v>
      </c>
      <c r="J359" t="s">
        <v>17</v>
      </c>
      <c r="K359" t="s">
        <v>14</v>
      </c>
      <c r="L359" t="s">
        <v>15</v>
      </c>
    </row>
    <row r="360" spans="1:12" x14ac:dyDescent="0.3">
      <c r="A360" s="12">
        <v>359</v>
      </c>
      <c r="B360" s="2">
        <v>40559</v>
      </c>
      <c r="C360" s="12">
        <v>1</v>
      </c>
      <c r="D360" s="12">
        <v>10</v>
      </c>
      <c r="E360" t="b">
        <v>0</v>
      </c>
      <c r="F360" s="12">
        <v>0</v>
      </c>
      <c r="G360" s="12">
        <v>1</v>
      </c>
      <c r="H360" s="9">
        <v>0.22</v>
      </c>
      <c r="I360" t="s">
        <v>12</v>
      </c>
      <c r="J360" t="s">
        <v>17</v>
      </c>
      <c r="K360" t="s">
        <v>14</v>
      </c>
      <c r="L360" t="s">
        <v>15</v>
      </c>
    </row>
    <row r="361" spans="1:12" x14ac:dyDescent="0.3">
      <c r="A361" s="12">
        <v>360</v>
      </c>
      <c r="B361" s="2">
        <v>40559</v>
      </c>
      <c r="C361" s="12">
        <v>1</v>
      </c>
      <c r="D361" s="12">
        <v>11</v>
      </c>
      <c r="E361" t="b">
        <v>0</v>
      </c>
      <c r="F361" s="12">
        <v>0</v>
      </c>
      <c r="G361" s="12">
        <v>1</v>
      </c>
      <c r="H361" s="9">
        <v>0.24</v>
      </c>
      <c r="I361" t="s">
        <v>12</v>
      </c>
      <c r="J361" t="s">
        <v>17</v>
      </c>
      <c r="K361" t="s">
        <v>14</v>
      </c>
      <c r="L361" t="s">
        <v>15</v>
      </c>
    </row>
    <row r="362" spans="1:12" x14ac:dyDescent="0.3">
      <c r="A362" s="12">
        <v>361</v>
      </c>
      <c r="B362" s="2">
        <v>40559</v>
      </c>
      <c r="C362" s="12">
        <v>1</v>
      </c>
      <c r="D362" s="12">
        <v>12</v>
      </c>
      <c r="E362" t="b">
        <v>0</v>
      </c>
      <c r="F362" s="12">
        <v>0</v>
      </c>
      <c r="G362" s="12">
        <v>1</v>
      </c>
      <c r="H362" s="9">
        <v>0.24</v>
      </c>
      <c r="I362" t="s">
        <v>12</v>
      </c>
      <c r="J362" t="s">
        <v>20</v>
      </c>
      <c r="K362" t="s">
        <v>14</v>
      </c>
      <c r="L362" t="s">
        <v>15</v>
      </c>
    </row>
    <row r="363" spans="1:12" x14ac:dyDescent="0.3">
      <c r="A363" s="12">
        <v>362</v>
      </c>
      <c r="B363" s="2">
        <v>40559</v>
      </c>
      <c r="C363" s="12">
        <v>1</v>
      </c>
      <c r="D363" s="12">
        <v>13</v>
      </c>
      <c r="E363" t="b">
        <v>0</v>
      </c>
      <c r="F363" s="12">
        <v>0</v>
      </c>
      <c r="G363" s="12">
        <v>1</v>
      </c>
      <c r="H363" s="9">
        <v>0.26</v>
      </c>
      <c r="I363" t="s">
        <v>12</v>
      </c>
      <c r="J363" t="s">
        <v>20</v>
      </c>
      <c r="K363" t="s">
        <v>18</v>
      </c>
      <c r="L363" t="s">
        <v>15</v>
      </c>
    </row>
    <row r="364" spans="1:12" x14ac:dyDescent="0.3">
      <c r="A364" s="12">
        <v>363</v>
      </c>
      <c r="B364" s="2">
        <v>40559</v>
      </c>
      <c r="C364" s="12">
        <v>1</v>
      </c>
      <c r="D364" s="12">
        <v>14</v>
      </c>
      <c r="E364" t="b">
        <v>0</v>
      </c>
      <c r="F364" s="12">
        <v>0</v>
      </c>
      <c r="G364" s="12">
        <v>1</v>
      </c>
      <c r="H364" s="9">
        <v>0.28000000000000003</v>
      </c>
      <c r="I364" t="s">
        <v>12</v>
      </c>
      <c r="J364" t="s">
        <v>20</v>
      </c>
      <c r="K364" t="s">
        <v>18</v>
      </c>
      <c r="L364" t="s">
        <v>15</v>
      </c>
    </row>
    <row r="365" spans="1:12" x14ac:dyDescent="0.3">
      <c r="A365" s="12">
        <v>364</v>
      </c>
      <c r="B365" s="2">
        <v>40559</v>
      </c>
      <c r="C365" s="12">
        <v>1</v>
      </c>
      <c r="D365" s="12">
        <v>15</v>
      </c>
      <c r="E365" t="b">
        <v>0</v>
      </c>
      <c r="F365" s="12">
        <v>0</v>
      </c>
      <c r="G365" s="12">
        <v>1</v>
      </c>
      <c r="H365" s="9">
        <v>0.26</v>
      </c>
      <c r="I365" t="s">
        <v>12</v>
      </c>
      <c r="J365" t="s">
        <v>20</v>
      </c>
      <c r="K365" t="s">
        <v>18</v>
      </c>
      <c r="L365" t="s">
        <v>15</v>
      </c>
    </row>
    <row r="366" spans="1:12" x14ac:dyDescent="0.3">
      <c r="A366" s="12">
        <v>365</v>
      </c>
      <c r="B366" s="2">
        <v>40559</v>
      </c>
      <c r="C366" s="12">
        <v>1</v>
      </c>
      <c r="D366" s="12">
        <v>16</v>
      </c>
      <c r="E366" t="b">
        <v>0</v>
      </c>
      <c r="F366" s="12">
        <v>0</v>
      </c>
      <c r="G366" s="12">
        <v>1</v>
      </c>
      <c r="H366" s="9">
        <v>0.24</v>
      </c>
      <c r="I366" t="s">
        <v>12</v>
      </c>
      <c r="J366" t="s">
        <v>20</v>
      </c>
      <c r="K366" t="s">
        <v>14</v>
      </c>
      <c r="L366" t="s">
        <v>15</v>
      </c>
    </row>
    <row r="367" spans="1:12" x14ac:dyDescent="0.3">
      <c r="A367" s="12">
        <v>366</v>
      </c>
      <c r="B367" s="2">
        <v>40559</v>
      </c>
      <c r="C367" s="12">
        <v>1</v>
      </c>
      <c r="D367" s="12">
        <v>17</v>
      </c>
      <c r="E367" t="b">
        <v>0</v>
      </c>
      <c r="F367" s="12">
        <v>0</v>
      </c>
      <c r="G367" s="12">
        <v>1</v>
      </c>
      <c r="H367" s="9">
        <v>0.22</v>
      </c>
      <c r="I367" t="s">
        <v>12</v>
      </c>
      <c r="J367" t="s">
        <v>22</v>
      </c>
      <c r="K367" t="s">
        <v>14</v>
      </c>
      <c r="L367" t="s">
        <v>15</v>
      </c>
    </row>
    <row r="368" spans="1:12" x14ac:dyDescent="0.3">
      <c r="A368" s="12">
        <v>367</v>
      </c>
      <c r="B368" s="2">
        <v>40559</v>
      </c>
      <c r="C368" s="12">
        <v>1</v>
      </c>
      <c r="D368" s="12">
        <v>18</v>
      </c>
      <c r="E368" t="b">
        <v>0</v>
      </c>
      <c r="F368" s="12">
        <v>0</v>
      </c>
      <c r="G368" s="12">
        <v>1</v>
      </c>
      <c r="H368" s="9">
        <v>0.2</v>
      </c>
      <c r="I368" t="s">
        <v>12</v>
      </c>
      <c r="J368" t="s">
        <v>22</v>
      </c>
      <c r="K368" t="s">
        <v>14</v>
      </c>
      <c r="L368" t="s">
        <v>15</v>
      </c>
    </row>
    <row r="369" spans="1:12" x14ac:dyDescent="0.3">
      <c r="A369" s="12">
        <v>368</v>
      </c>
      <c r="B369" s="2">
        <v>40559</v>
      </c>
      <c r="C369" s="12">
        <v>1</v>
      </c>
      <c r="D369" s="12">
        <v>19</v>
      </c>
      <c r="E369" t="b">
        <v>0</v>
      </c>
      <c r="F369" s="12">
        <v>0</v>
      </c>
      <c r="G369" s="12">
        <v>1</v>
      </c>
      <c r="H369" s="9">
        <v>0.18</v>
      </c>
      <c r="I369" t="s">
        <v>12</v>
      </c>
      <c r="J369" t="s">
        <v>22</v>
      </c>
      <c r="K369" t="s">
        <v>14</v>
      </c>
      <c r="L369" t="s">
        <v>15</v>
      </c>
    </row>
    <row r="370" spans="1:12" x14ac:dyDescent="0.3">
      <c r="A370" s="12">
        <v>369</v>
      </c>
      <c r="B370" s="2">
        <v>40559</v>
      </c>
      <c r="C370" s="12">
        <v>1</v>
      </c>
      <c r="D370" s="12">
        <v>20</v>
      </c>
      <c r="E370" t="b">
        <v>0</v>
      </c>
      <c r="F370" s="12">
        <v>0</v>
      </c>
      <c r="G370" s="12">
        <v>1</v>
      </c>
      <c r="H370" s="9">
        <v>0.18</v>
      </c>
      <c r="I370" t="s">
        <v>12</v>
      </c>
      <c r="J370" t="s">
        <v>22</v>
      </c>
      <c r="K370" t="s">
        <v>14</v>
      </c>
      <c r="L370" t="s">
        <v>15</v>
      </c>
    </row>
    <row r="371" spans="1:12" x14ac:dyDescent="0.3">
      <c r="A371" s="12">
        <v>370</v>
      </c>
      <c r="B371" s="2">
        <v>40559</v>
      </c>
      <c r="C371" s="12">
        <v>1</v>
      </c>
      <c r="D371" s="12">
        <v>21</v>
      </c>
      <c r="E371" t="b">
        <v>0</v>
      </c>
      <c r="F371" s="12">
        <v>0</v>
      </c>
      <c r="G371" s="12">
        <v>1</v>
      </c>
      <c r="H371" s="9">
        <v>0.18</v>
      </c>
      <c r="I371" t="s">
        <v>12</v>
      </c>
      <c r="J371" t="s">
        <v>13</v>
      </c>
      <c r="K371" t="s">
        <v>14</v>
      </c>
      <c r="L371" t="s">
        <v>15</v>
      </c>
    </row>
    <row r="372" spans="1:12" x14ac:dyDescent="0.3">
      <c r="A372" s="12">
        <v>371</v>
      </c>
      <c r="B372" s="2">
        <v>40559</v>
      </c>
      <c r="C372" s="12">
        <v>1</v>
      </c>
      <c r="D372" s="12">
        <v>22</v>
      </c>
      <c r="E372" t="b">
        <v>0</v>
      </c>
      <c r="F372" s="12">
        <v>0</v>
      </c>
      <c r="G372" s="12">
        <v>2</v>
      </c>
      <c r="H372" s="9">
        <v>0.2</v>
      </c>
      <c r="I372" t="s">
        <v>16</v>
      </c>
      <c r="J372" t="s">
        <v>13</v>
      </c>
      <c r="K372" t="s">
        <v>14</v>
      </c>
      <c r="L372" t="s">
        <v>15</v>
      </c>
    </row>
    <row r="373" spans="1:12" x14ac:dyDescent="0.3">
      <c r="A373" s="12">
        <v>372</v>
      </c>
      <c r="B373" s="2">
        <v>40559</v>
      </c>
      <c r="C373" s="12">
        <v>1</v>
      </c>
      <c r="D373" s="12">
        <v>23</v>
      </c>
      <c r="E373" t="b">
        <v>0</v>
      </c>
      <c r="F373" s="12">
        <v>0</v>
      </c>
      <c r="G373" s="12">
        <v>2</v>
      </c>
      <c r="H373" s="9">
        <v>0.2</v>
      </c>
      <c r="I373" t="s">
        <v>16</v>
      </c>
      <c r="J373" t="s">
        <v>13</v>
      </c>
      <c r="K373" t="s">
        <v>14</v>
      </c>
      <c r="L373" t="s">
        <v>15</v>
      </c>
    </row>
    <row r="374" spans="1:12" x14ac:dyDescent="0.3">
      <c r="A374" s="12">
        <v>373</v>
      </c>
      <c r="B374" s="2">
        <v>40560</v>
      </c>
      <c r="C374" s="12">
        <v>1</v>
      </c>
      <c r="D374" s="12">
        <v>0</v>
      </c>
      <c r="E374" t="b">
        <v>1</v>
      </c>
      <c r="F374" s="12">
        <v>1</v>
      </c>
      <c r="G374" s="12">
        <v>2</v>
      </c>
      <c r="H374" s="9">
        <v>0.2</v>
      </c>
      <c r="I374" t="s">
        <v>16</v>
      </c>
      <c r="J374" t="s">
        <v>13</v>
      </c>
      <c r="K374" t="s">
        <v>14</v>
      </c>
      <c r="L374" t="s">
        <v>24</v>
      </c>
    </row>
    <row r="375" spans="1:12" x14ac:dyDescent="0.3">
      <c r="A375" s="12">
        <v>374</v>
      </c>
      <c r="B375" s="2">
        <v>40560</v>
      </c>
      <c r="C375" s="12">
        <v>1</v>
      </c>
      <c r="D375" s="12">
        <v>1</v>
      </c>
      <c r="E375" t="b">
        <v>1</v>
      </c>
      <c r="F375" s="12">
        <v>1</v>
      </c>
      <c r="G375" s="12">
        <v>2</v>
      </c>
      <c r="H375" s="9">
        <v>0.2</v>
      </c>
      <c r="I375" t="s">
        <v>16</v>
      </c>
      <c r="J375" t="s">
        <v>13</v>
      </c>
      <c r="K375" t="s">
        <v>14</v>
      </c>
      <c r="L375" t="s">
        <v>24</v>
      </c>
    </row>
    <row r="376" spans="1:12" x14ac:dyDescent="0.3">
      <c r="A376" s="12">
        <v>375</v>
      </c>
      <c r="B376" s="2">
        <v>40560</v>
      </c>
      <c r="C376" s="12">
        <v>1</v>
      </c>
      <c r="D376" s="12">
        <v>2</v>
      </c>
      <c r="E376" t="b">
        <v>1</v>
      </c>
      <c r="F376" s="12">
        <v>1</v>
      </c>
      <c r="G376" s="12">
        <v>2</v>
      </c>
      <c r="H376" s="9">
        <v>0.18</v>
      </c>
      <c r="I376" t="s">
        <v>16</v>
      </c>
      <c r="J376" t="s">
        <v>13</v>
      </c>
      <c r="K376" t="s">
        <v>14</v>
      </c>
      <c r="L376" t="s">
        <v>24</v>
      </c>
    </row>
    <row r="377" spans="1:12" x14ac:dyDescent="0.3">
      <c r="A377" s="12">
        <v>376</v>
      </c>
      <c r="B377" s="2">
        <v>40560</v>
      </c>
      <c r="C377" s="12">
        <v>1</v>
      </c>
      <c r="D377" s="12">
        <v>3</v>
      </c>
      <c r="E377" t="b">
        <v>1</v>
      </c>
      <c r="F377" s="12">
        <v>1</v>
      </c>
      <c r="G377" s="12">
        <v>2</v>
      </c>
      <c r="H377" s="9">
        <v>0.18</v>
      </c>
      <c r="I377" t="s">
        <v>16</v>
      </c>
      <c r="J377" t="s">
        <v>13</v>
      </c>
      <c r="K377" t="s">
        <v>14</v>
      </c>
      <c r="L377" t="s">
        <v>24</v>
      </c>
    </row>
    <row r="378" spans="1:12" x14ac:dyDescent="0.3">
      <c r="A378" s="12">
        <v>377</v>
      </c>
      <c r="B378" s="2">
        <v>40560</v>
      </c>
      <c r="C378" s="12">
        <v>1</v>
      </c>
      <c r="D378" s="12">
        <v>4</v>
      </c>
      <c r="E378" t="b">
        <v>1</v>
      </c>
      <c r="F378" s="12">
        <v>1</v>
      </c>
      <c r="G378" s="12">
        <v>2</v>
      </c>
      <c r="H378" s="9">
        <v>0.18</v>
      </c>
      <c r="I378" t="s">
        <v>16</v>
      </c>
      <c r="J378" t="s">
        <v>13</v>
      </c>
      <c r="K378" t="s">
        <v>14</v>
      </c>
      <c r="L378" t="s">
        <v>24</v>
      </c>
    </row>
    <row r="379" spans="1:12" x14ac:dyDescent="0.3">
      <c r="A379" s="12">
        <v>378</v>
      </c>
      <c r="B379" s="2">
        <v>40560</v>
      </c>
      <c r="C379" s="12">
        <v>1</v>
      </c>
      <c r="D379" s="12">
        <v>5</v>
      </c>
      <c r="E379" t="b">
        <v>1</v>
      </c>
      <c r="F379" s="12">
        <v>1</v>
      </c>
      <c r="G379" s="12">
        <v>2</v>
      </c>
      <c r="H379" s="9">
        <v>0.18</v>
      </c>
      <c r="I379" t="s">
        <v>16</v>
      </c>
      <c r="J379" t="s">
        <v>13</v>
      </c>
      <c r="K379" t="s">
        <v>14</v>
      </c>
      <c r="L379" t="s">
        <v>24</v>
      </c>
    </row>
    <row r="380" spans="1:12" x14ac:dyDescent="0.3">
      <c r="A380" s="12">
        <v>379</v>
      </c>
      <c r="B380" s="2">
        <v>40560</v>
      </c>
      <c r="C380" s="12">
        <v>1</v>
      </c>
      <c r="D380" s="12">
        <v>6</v>
      </c>
      <c r="E380" t="b">
        <v>1</v>
      </c>
      <c r="F380" s="12">
        <v>1</v>
      </c>
      <c r="G380" s="12">
        <v>2</v>
      </c>
      <c r="H380" s="9">
        <v>0.18</v>
      </c>
      <c r="I380" t="s">
        <v>16</v>
      </c>
      <c r="J380" t="s">
        <v>17</v>
      </c>
      <c r="K380" t="s">
        <v>14</v>
      </c>
      <c r="L380" t="s">
        <v>24</v>
      </c>
    </row>
    <row r="381" spans="1:12" x14ac:dyDescent="0.3">
      <c r="A381" s="12">
        <v>380</v>
      </c>
      <c r="B381" s="2">
        <v>40560</v>
      </c>
      <c r="C381" s="12">
        <v>1</v>
      </c>
      <c r="D381" s="12">
        <v>7</v>
      </c>
      <c r="E381" t="b">
        <v>1</v>
      </c>
      <c r="F381" s="12">
        <v>1</v>
      </c>
      <c r="G381" s="12">
        <v>2</v>
      </c>
      <c r="H381" s="9">
        <v>0.16</v>
      </c>
      <c r="I381" t="s">
        <v>16</v>
      </c>
      <c r="J381" t="s">
        <v>17</v>
      </c>
      <c r="K381" t="s">
        <v>14</v>
      </c>
      <c r="L381" t="s">
        <v>24</v>
      </c>
    </row>
    <row r="382" spans="1:12" x14ac:dyDescent="0.3">
      <c r="A382" s="12">
        <v>381</v>
      </c>
      <c r="B382" s="2">
        <v>40560</v>
      </c>
      <c r="C382" s="12">
        <v>1</v>
      </c>
      <c r="D382" s="12">
        <v>8</v>
      </c>
      <c r="E382" t="b">
        <v>1</v>
      </c>
      <c r="F382" s="12">
        <v>1</v>
      </c>
      <c r="G382" s="12">
        <v>2</v>
      </c>
      <c r="H382" s="9">
        <v>0.16</v>
      </c>
      <c r="I382" t="s">
        <v>16</v>
      </c>
      <c r="J382" t="s">
        <v>17</v>
      </c>
      <c r="K382" t="s">
        <v>14</v>
      </c>
      <c r="L382" t="s">
        <v>24</v>
      </c>
    </row>
    <row r="383" spans="1:12" x14ac:dyDescent="0.3">
      <c r="A383" s="12">
        <v>382</v>
      </c>
      <c r="B383" s="2">
        <v>40560</v>
      </c>
      <c r="C383" s="12">
        <v>1</v>
      </c>
      <c r="D383" s="12">
        <v>9</v>
      </c>
      <c r="E383" t="b">
        <v>1</v>
      </c>
      <c r="F383" s="12">
        <v>1</v>
      </c>
      <c r="G383" s="12">
        <v>2</v>
      </c>
      <c r="H383" s="9">
        <v>0.16</v>
      </c>
      <c r="I383" t="s">
        <v>16</v>
      </c>
      <c r="J383" t="s">
        <v>17</v>
      </c>
      <c r="K383" t="s">
        <v>14</v>
      </c>
      <c r="L383" t="s">
        <v>24</v>
      </c>
    </row>
    <row r="384" spans="1:12" x14ac:dyDescent="0.3">
      <c r="A384" s="12">
        <v>383</v>
      </c>
      <c r="B384" s="2">
        <v>40560</v>
      </c>
      <c r="C384" s="12">
        <v>1</v>
      </c>
      <c r="D384" s="12">
        <v>10</v>
      </c>
      <c r="E384" t="b">
        <v>1</v>
      </c>
      <c r="F384" s="12">
        <v>1</v>
      </c>
      <c r="G384" s="12">
        <v>2</v>
      </c>
      <c r="H384" s="9">
        <v>0.16</v>
      </c>
      <c r="I384" t="s">
        <v>16</v>
      </c>
      <c r="J384" t="s">
        <v>17</v>
      </c>
      <c r="K384" t="s">
        <v>14</v>
      </c>
      <c r="L384" t="s">
        <v>24</v>
      </c>
    </row>
    <row r="385" spans="1:12" x14ac:dyDescent="0.3">
      <c r="A385" s="12">
        <v>384</v>
      </c>
      <c r="B385" s="2">
        <v>40560</v>
      </c>
      <c r="C385" s="12">
        <v>1</v>
      </c>
      <c r="D385" s="12">
        <v>11</v>
      </c>
      <c r="E385" t="b">
        <v>1</v>
      </c>
      <c r="F385" s="12">
        <v>1</v>
      </c>
      <c r="G385" s="12">
        <v>2</v>
      </c>
      <c r="H385" s="9">
        <v>0.16</v>
      </c>
      <c r="I385" t="s">
        <v>16</v>
      </c>
      <c r="J385" t="s">
        <v>17</v>
      </c>
      <c r="K385" t="s">
        <v>14</v>
      </c>
      <c r="L385" t="s">
        <v>24</v>
      </c>
    </row>
    <row r="386" spans="1:12" x14ac:dyDescent="0.3">
      <c r="A386" s="12">
        <v>385</v>
      </c>
      <c r="B386" s="2">
        <v>40560</v>
      </c>
      <c r="C386" s="12">
        <v>1</v>
      </c>
      <c r="D386" s="12">
        <v>12</v>
      </c>
      <c r="E386" t="b">
        <v>1</v>
      </c>
      <c r="F386" s="12">
        <v>1</v>
      </c>
      <c r="G386" s="12">
        <v>2</v>
      </c>
      <c r="H386" s="9">
        <v>0.18</v>
      </c>
      <c r="I386" t="s">
        <v>16</v>
      </c>
      <c r="J386" t="s">
        <v>20</v>
      </c>
      <c r="K386" t="s">
        <v>14</v>
      </c>
      <c r="L386" t="s">
        <v>24</v>
      </c>
    </row>
    <row r="387" spans="1:12" x14ac:dyDescent="0.3">
      <c r="A387" s="12">
        <v>386</v>
      </c>
      <c r="B387" s="2">
        <v>40560</v>
      </c>
      <c r="C387" s="12">
        <v>1</v>
      </c>
      <c r="D387" s="12">
        <v>13</v>
      </c>
      <c r="E387" t="b">
        <v>1</v>
      </c>
      <c r="F387" s="12">
        <v>1</v>
      </c>
      <c r="G387" s="12">
        <v>2</v>
      </c>
      <c r="H387" s="9">
        <v>0.18</v>
      </c>
      <c r="I387" t="s">
        <v>16</v>
      </c>
      <c r="J387" t="s">
        <v>20</v>
      </c>
      <c r="K387" t="s">
        <v>14</v>
      </c>
      <c r="L387" t="s">
        <v>24</v>
      </c>
    </row>
    <row r="388" spans="1:12" x14ac:dyDescent="0.3">
      <c r="A388" s="12">
        <v>387</v>
      </c>
      <c r="B388" s="2">
        <v>40560</v>
      </c>
      <c r="C388" s="12">
        <v>1</v>
      </c>
      <c r="D388" s="12">
        <v>14</v>
      </c>
      <c r="E388" t="b">
        <v>1</v>
      </c>
      <c r="F388" s="12">
        <v>1</v>
      </c>
      <c r="G388" s="12">
        <v>2</v>
      </c>
      <c r="H388" s="9">
        <v>0.18</v>
      </c>
      <c r="I388" t="s">
        <v>16</v>
      </c>
      <c r="J388" t="s">
        <v>20</v>
      </c>
      <c r="K388" t="s">
        <v>14</v>
      </c>
      <c r="L388" t="s">
        <v>24</v>
      </c>
    </row>
    <row r="389" spans="1:12" x14ac:dyDescent="0.3">
      <c r="A389" s="12">
        <v>388</v>
      </c>
      <c r="B389" s="2">
        <v>40560</v>
      </c>
      <c r="C389" s="12">
        <v>1</v>
      </c>
      <c r="D389" s="12">
        <v>15</v>
      </c>
      <c r="E389" t="b">
        <v>1</v>
      </c>
      <c r="F389" s="12">
        <v>1</v>
      </c>
      <c r="G389" s="12">
        <v>2</v>
      </c>
      <c r="H389" s="9">
        <v>0.2</v>
      </c>
      <c r="I389" t="s">
        <v>16</v>
      </c>
      <c r="J389" t="s">
        <v>20</v>
      </c>
      <c r="K389" t="s">
        <v>14</v>
      </c>
      <c r="L389" t="s">
        <v>24</v>
      </c>
    </row>
    <row r="390" spans="1:12" x14ac:dyDescent="0.3">
      <c r="A390" s="12">
        <v>389</v>
      </c>
      <c r="B390" s="2">
        <v>40560</v>
      </c>
      <c r="C390" s="12">
        <v>1</v>
      </c>
      <c r="D390" s="12">
        <v>16</v>
      </c>
      <c r="E390" t="b">
        <v>1</v>
      </c>
      <c r="F390" s="12">
        <v>1</v>
      </c>
      <c r="G390" s="12">
        <v>2</v>
      </c>
      <c r="H390" s="9">
        <v>0.2</v>
      </c>
      <c r="I390" t="s">
        <v>16</v>
      </c>
      <c r="J390" t="s">
        <v>20</v>
      </c>
      <c r="K390" t="s">
        <v>14</v>
      </c>
      <c r="L390" t="s">
        <v>24</v>
      </c>
    </row>
    <row r="391" spans="1:12" x14ac:dyDescent="0.3">
      <c r="A391" s="12">
        <v>390</v>
      </c>
      <c r="B391" s="2">
        <v>40560</v>
      </c>
      <c r="C391" s="12">
        <v>1</v>
      </c>
      <c r="D391" s="12">
        <v>17</v>
      </c>
      <c r="E391" t="b">
        <v>1</v>
      </c>
      <c r="F391" s="12">
        <v>1</v>
      </c>
      <c r="G391" s="12">
        <v>1</v>
      </c>
      <c r="H391" s="9">
        <v>0.2</v>
      </c>
      <c r="I391" t="s">
        <v>12</v>
      </c>
      <c r="J391" t="s">
        <v>22</v>
      </c>
      <c r="K391" t="s">
        <v>14</v>
      </c>
      <c r="L391" t="s">
        <v>24</v>
      </c>
    </row>
    <row r="392" spans="1:12" x14ac:dyDescent="0.3">
      <c r="A392" s="12">
        <v>391</v>
      </c>
      <c r="B392" s="2">
        <v>40560</v>
      </c>
      <c r="C392" s="12">
        <v>1</v>
      </c>
      <c r="D392" s="12">
        <v>18</v>
      </c>
      <c r="E392" t="b">
        <v>1</v>
      </c>
      <c r="F392" s="12">
        <v>1</v>
      </c>
      <c r="G392" s="12">
        <v>2</v>
      </c>
      <c r="H392" s="9">
        <v>0.18</v>
      </c>
      <c r="I392" t="s">
        <v>16</v>
      </c>
      <c r="J392" t="s">
        <v>22</v>
      </c>
      <c r="K392" t="s">
        <v>14</v>
      </c>
      <c r="L392" t="s">
        <v>24</v>
      </c>
    </row>
    <row r="393" spans="1:12" x14ac:dyDescent="0.3">
      <c r="A393" s="12">
        <v>392</v>
      </c>
      <c r="B393" s="2">
        <v>40560</v>
      </c>
      <c r="C393" s="12">
        <v>1</v>
      </c>
      <c r="D393" s="12">
        <v>19</v>
      </c>
      <c r="E393" t="b">
        <v>1</v>
      </c>
      <c r="F393" s="12">
        <v>1</v>
      </c>
      <c r="G393" s="12">
        <v>3</v>
      </c>
      <c r="H393" s="9">
        <v>0.18</v>
      </c>
      <c r="I393" t="s">
        <v>23</v>
      </c>
      <c r="J393" t="s">
        <v>22</v>
      </c>
      <c r="K393" t="s">
        <v>14</v>
      </c>
      <c r="L393" t="s">
        <v>24</v>
      </c>
    </row>
    <row r="394" spans="1:12" x14ac:dyDescent="0.3">
      <c r="A394" s="12">
        <v>393</v>
      </c>
      <c r="B394" s="2">
        <v>40560</v>
      </c>
      <c r="C394" s="12">
        <v>1</v>
      </c>
      <c r="D394" s="12">
        <v>20</v>
      </c>
      <c r="E394" t="b">
        <v>1</v>
      </c>
      <c r="F394" s="12">
        <v>1</v>
      </c>
      <c r="G394" s="12">
        <v>3</v>
      </c>
      <c r="H394" s="9">
        <v>0.16</v>
      </c>
      <c r="I394" t="s">
        <v>23</v>
      </c>
      <c r="J394" t="s">
        <v>22</v>
      </c>
      <c r="K394" t="s">
        <v>14</v>
      </c>
      <c r="L394" t="s">
        <v>24</v>
      </c>
    </row>
    <row r="395" spans="1:12" x14ac:dyDescent="0.3">
      <c r="A395" s="12">
        <v>394</v>
      </c>
      <c r="B395" s="2">
        <v>40560</v>
      </c>
      <c r="C395" s="12">
        <v>1</v>
      </c>
      <c r="D395" s="12">
        <v>21</v>
      </c>
      <c r="E395" t="b">
        <v>1</v>
      </c>
      <c r="F395" s="12">
        <v>1</v>
      </c>
      <c r="G395" s="12">
        <v>3</v>
      </c>
      <c r="H395" s="9">
        <v>0.16</v>
      </c>
      <c r="I395" t="s">
        <v>23</v>
      </c>
      <c r="J395" t="s">
        <v>13</v>
      </c>
      <c r="K395" t="s">
        <v>14</v>
      </c>
      <c r="L395" t="s">
        <v>24</v>
      </c>
    </row>
    <row r="396" spans="1:12" x14ac:dyDescent="0.3">
      <c r="A396" s="12">
        <v>395</v>
      </c>
      <c r="B396" s="2">
        <v>40560</v>
      </c>
      <c r="C396" s="12">
        <v>1</v>
      </c>
      <c r="D396" s="12">
        <v>22</v>
      </c>
      <c r="E396" t="b">
        <v>1</v>
      </c>
      <c r="F396" s="12">
        <v>1</v>
      </c>
      <c r="G396" s="12">
        <v>3</v>
      </c>
      <c r="H396" s="9">
        <v>0.14000000000000001</v>
      </c>
      <c r="I396" t="s">
        <v>23</v>
      </c>
      <c r="J396" t="s">
        <v>13</v>
      </c>
      <c r="K396" t="s">
        <v>25</v>
      </c>
      <c r="L396" t="s">
        <v>24</v>
      </c>
    </row>
    <row r="397" spans="1:12" x14ac:dyDescent="0.3">
      <c r="A397" s="12">
        <v>396</v>
      </c>
      <c r="B397" s="2">
        <v>40560</v>
      </c>
      <c r="C397" s="12">
        <v>1</v>
      </c>
      <c r="D397" s="12">
        <v>23</v>
      </c>
      <c r="E397" t="b">
        <v>1</v>
      </c>
      <c r="F397" s="12">
        <v>1</v>
      </c>
      <c r="G397" s="12">
        <v>3</v>
      </c>
      <c r="H397" s="9">
        <v>0.16</v>
      </c>
      <c r="I397" t="s">
        <v>23</v>
      </c>
      <c r="J397" t="s">
        <v>13</v>
      </c>
      <c r="K397" t="s">
        <v>14</v>
      </c>
      <c r="L397" t="s">
        <v>24</v>
      </c>
    </row>
    <row r="398" spans="1:12" x14ac:dyDescent="0.3">
      <c r="A398" s="12">
        <v>397</v>
      </c>
      <c r="B398" s="2">
        <v>40561</v>
      </c>
      <c r="C398" s="12">
        <v>1</v>
      </c>
      <c r="D398" s="12">
        <v>12</v>
      </c>
      <c r="E398" t="b">
        <v>0</v>
      </c>
      <c r="F398" s="12">
        <v>2</v>
      </c>
      <c r="G398" s="12">
        <v>2</v>
      </c>
      <c r="H398" s="9">
        <v>0.2</v>
      </c>
      <c r="I398" t="s">
        <v>16</v>
      </c>
      <c r="J398" t="s">
        <v>20</v>
      </c>
      <c r="K398" t="s">
        <v>14</v>
      </c>
      <c r="L398" t="s">
        <v>24</v>
      </c>
    </row>
    <row r="399" spans="1:12" x14ac:dyDescent="0.3">
      <c r="A399" s="12">
        <v>398</v>
      </c>
      <c r="B399" s="2">
        <v>40561</v>
      </c>
      <c r="C399" s="12">
        <v>1</v>
      </c>
      <c r="D399" s="12">
        <v>13</v>
      </c>
      <c r="E399" t="b">
        <v>0</v>
      </c>
      <c r="F399" s="12">
        <v>2</v>
      </c>
      <c r="G399" s="12">
        <v>2</v>
      </c>
      <c r="H399" s="9">
        <v>0.2</v>
      </c>
      <c r="I399" t="s">
        <v>16</v>
      </c>
      <c r="J399" t="s">
        <v>20</v>
      </c>
      <c r="K399" t="s">
        <v>14</v>
      </c>
      <c r="L399" t="s">
        <v>24</v>
      </c>
    </row>
    <row r="400" spans="1:12" x14ac:dyDescent="0.3">
      <c r="A400" s="12">
        <v>399</v>
      </c>
      <c r="B400" s="2">
        <v>40561</v>
      </c>
      <c r="C400" s="12">
        <v>1</v>
      </c>
      <c r="D400" s="12">
        <v>14</v>
      </c>
      <c r="E400" t="b">
        <v>0</v>
      </c>
      <c r="F400" s="12">
        <v>2</v>
      </c>
      <c r="G400" s="12">
        <v>2</v>
      </c>
      <c r="H400" s="9">
        <v>0.22</v>
      </c>
      <c r="I400" t="s">
        <v>16</v>
      </c>
      <c r="J400" t="s">
        <v>20</v>
      </c>
      <c r="K400" t="s">
        <v>14</v>
      </c>
      <c r="L400" t="s">
        <v>24</v>
      </c>
    </row>
    <row r="401" spans="1:12" x14ac:dyDescent="0.3">
      <c r="A401" s="12">
        <v>400</v>
      </c>
      <c r="B401" s="2">
        <v>40561</v>
      </c>
      <c r="C401" s="12">
        <v>1</v>
      </c>
      <c r="D401" s="12">
        <v>15</v>
      </c>
      <c r="E401" t="b">
        <v>0</v>
      </c>
      <c r="F401" s="12">
        <v>2</v>
      </c>
      <c r="G401" s="12">
        <v>2</v>
      </c>
      <c r="H401" s="9">
        <v>0.22</v>
      </c>
      <c r="I401" t="s">
        <v>16</v>
      </c>
      <c r="J401" t="s">
        <v>20</v>
      </c>
      <c r="K401" t="s">
        <v>14</v>
      </c>
      <c r="L401" t="s">
        <v>24</v>
      </c>
    </row>
    <row r="402" spans="1:12" x14ac:dyDescent="0.3">
      <c r="A402" s="12">
        <v>401</v>
      </c>
      <c r="B402" s="2">
        <v>40561</v>
      </c>
      <c r="C402" s="12">
        <v>1</v>
      </c>
      <c r="D402" s="12">
        <v>16</v>
      </c>
      <c r="E402" t="b">
        <v>0</v>
      </c>
      <c r="F402" s="12">
        <v>2</v>
      </c>
      <c r="G402" s="12">
        <v>2</v>
      </c>
      <c r="H402" s="9">
        <v>0.22</v>
      </c>
      <c r="I402" t="s">
        <v>16</v>
      </c>
      <c r="J402" t="s">
        <v>20</v>
      </c>
      <c r="K402" t="s">
        <v>14</v>
      </c>
      <c r="L402" t="s">
        <v>24</v>
      </c>
    </row>
    <row r="403" spans="1:12" x14ac:dyDescent="0.3">
      <c r="A403" s="12">
        <v>402</v>
      </c>
      <c r="B403" s="2">
        <v>40561</v>
      </c>
      <c r="C403" s="12">
        <v>1</v>
      </c>
      <c r="D403" s="12">
        <v>17</v>
      </c>
      <c r="E403" t="b">
        <v>0</v>
      </c>
      <c r="F403" s="12">
        <v>2</v>
      </c>
      <c r="G403" s="12">
        <v>2</v>
      </c>
      <c r="H403" s="9">
        <v>0.22</v>
      </c>
      <c r="I403" t="s">
        <v>16</v>
      </c>
      <c r="J403" t="s">
        <v>22</v>
      </c>
      <c r="K403" t="s">
        <v>14</v>
      </c>
      <c r="L403" t="s">
        <v>24</v>
      </c>
    </row>
    <row r="404" spans="1:12" x14ac:dyDescent="0.3">
      <c r="A404" s="12">
        <v>403</v>
      </c>
      <c r="B404" s="2">
        <v>40561</v>
      </c>
      <c r="C404" s="12">
        <v>1</v>
      </c>
      <c r="D404" s="12">
        <v>18</v>
      </c>
      <c r="E404" t="b">
        <v>0</v>
      </c>
      <c r="F404" s="12">
        <v>2</v>
      </c>
      <c r="G404" s="12">
        <v>2</v>
      </c>
      <c r="H404" s="9">
        <v>0.22</v>
      </c>
      <c r="I404" t="s">
        <v>16</v>
      </c>
      <c r="J404" t="s">
        <v>22</v>
      </c>
      <c r="K404" t="s">
        <v>14</v>
      </c>
      <c r="L404" t="s">
        <v>24</v>
      </c>
    </row>
    <row r="405" spans="1:12" x14ac:dyDescent="0.3">
      <c r="A405" s="12">
        <v>404</v>
      </c>
      <c r="B405" s="2">
        <v>40561</v>
      </c>
      <c r="C405" s="12">
        <v>1</v>
      </c>
      <c r="D405" s="12">
        <v>19</v>
      </c>
      <c r="E405" t="b">
        <v>0</v>
      </c>
      <c r="F405" s="12">
        <v>2</v>
      </c>
      <c r="G405" s="12">
        <v>2</v>
      </c>
      <c r="H405" s="9">
        <v>0.22</v>
      </c>
      <c r="I405" t="s">
        <v>16</v>
      </c>
      <c r="J405" t="s">
        <v>22</v>
      </c>
      <c r="K405" t="s">
        <v>14</v>
      </c>
      <c r="L405" t="s">
        <v>24</v>
      </c>
    </row>
    <row r="406" spans="1:12" x14ac:dyDescent="0.3">
      <c r="A406" s="12">
        <v>405</v>
      </c>
      <c r="B406" s="2">
        <v>40561</v>
      </c>
      <c r="C406" s="12">
        <v>1</v>
      </c>
      <c r="D406" s="12">
        <v>20</v>
      </c>
      <c r="E406" t="b">
        <v>0</v>
      </c>
      <c r="F406" s="12">
        <v>2</v>
      </c>
      <c r="G406" s="12">
        <v>2</v>
      </c>
      <c r="H406" s="9">
        <v>0.22</v>
      </c>
      <c r="I406" t="s">
        <v>16</v>
      </c>
      <c r="J406" t="s">
        <v>22</v>
      </c>
      <c r="K406" t="s">
        <v>14</v>
      </c>
      <c r="L406" t="s">
        <v>24</v>
      </c>
    </row>
    <row r="407" spans="1:12" x14ac:dyDescent="0.3">
      <c r="A407" s="12">
        <v>406</v>
      </c>
      <c r="B407" s="2">
        <v>40561</v>
      </c>
      <c r="C407" s="12">
        <v>1</v>
      </c>
      <c r="D407" s="12">
        <v>21</v>
      </c>
      <c r="E407" t="b">
        <v>0</v>
      </c>
      <c r="F407" s="12">
        <v>2</v>
      </c>
      <c r="G407" s="12">
        <v>2</v>
      </c>
      <c r="H407" s="9">
        <v>0.22</v>
      </c>
      <c r="I407" t="s">
        <v>16</v>
      </c>
      <c r="J407" t="s">
        <v>13</v>
      </c>
      <c r="K407" t="s">
        <v>14</v>
      </c>
      <c r="L407" t="s">
        <v>24</v>
      </c>
    </row>
    <row r="408" spans="1:12" x14ac:dyDescent="0.3">
      <c r="A408" s="12">
        <v>407</v>
      </c>
      <c r="B408" s="2">
        <v>40561</v>
      </c>
      <c r="C408" s="12">
        <v>1</v>
      </c>
      <c r="D408" s="12">
        <v>22</v>
      </c>
      <c r="E408" t="b">
        <v>0</v>
      </c>
      <c r="F408" s="12">
        <v>2</v>
      </c>
      <c r="G408" s="12">
        <v>2</v>
      </c>
      <c r="H408" s="9">
        <v>0.22</v>
      </c>
      <c r="I408" t="s">
        <v>16</v>
      </c>
      <c r="J408" t="s">
        <v>13</v>
      </c>
      <c r="K408" t="s">
        <v>14</v>
      </c>
      <c r="L408" t="s">
        <v>24</v>
      </c>
    </row>
    <row r="409" spans="1:12" x14ac:dyDescent="0.3">
      <c r="A409" s="12">
        <v>408</v>
      </c>
      <c r="B409" s="2">
        <v>40561</v>
      </c>
      <c r="C409" s="12">
        <v>1</v>
      </c>
      <c r="D409" s="12">
        <v>23</v>
      </c>
      <c r="E409" t="b">
        <v>0</v>
      </c>
      <c r="F409" s="12">
        <v>2</v>
      </c>
      <c r="G409" s="12">
        <v>2</v>
      </c>
      <c r="H409" s="9">
        <v>0.22</v>
      </c>
      <c r="I409" t="s">
        <v>16</v>
      </c>
      <c r="J409" t="s">
        <v>13</v>
      </c>
      <c r="K409" t="s">
        <v>14</v>
      </c>
      <c r="L409" t="s">
        <v>24</v>
      </c>
    </row>
    <row r="410" spans="1:12" x14ac:dyDescent="0.3">
      <c r="A410" s="12">
        <v>409</v>
      </c>
      <c r="B410" s="2">
        <v>40562</v>
      </c>
      <c r="C410" s="12">
        <v>1</v>
      </c>
      <c r="D410" s="12">
        <v>0</v>
      </c>
      <c r="E410" t="b">
        <v>0</v>
      </c>
      <c r="F410" s="12">
        <v>3</v>
      </c>
      <c r="G410" s="12">
        <v>2</v>
      </c>
      <c r="H410" s="9">
        <v>0.22</v>
      </c>
      <c r="I410" t="s">
        <v>16</v>
      </c>
      <c r="J410" t="s">
        <v>13</v>
      </c>
      <c r="K410" t="s">
        <v>14</v>
      </c>
      <c r="L410" t="s">
        <v>24</v>
      </c>
    </row>
    <row r="411" spans="1:12" x14ac:dyDescent="0.3">
      <c r="A411" s="12">
        <v>410</v>
      </c>
      <c r="B411" s="2">
        <v>40562</v>
      </c>
      <c r="C411" s="12">
        <v>1</v>
      </c>
      <c r="D411" s="12">
        <v>1</v>
      </c>
      <c r="E411" t="b">
        <v>0</v>
      </c>
      <c r="F411" s="12">
        <v>3</v>
      </c>
      <c r="G411" s="12">
        <v>3</v>
      </c>
      <c r="H411" s="9">
        <v>0.22</v>
      </c>
      <c r="I411" t="s">
        <v>23</v>
      </c>
      <c r="J411" t="s">
        <v>13</v>
      </c>
      <c r="K411" t="s">
        <v>14</v>
      </c>
      <c r="L411" t="s">
        <v>24</v>
      </c>
    </row>
    <row r="412" spans="1:12" x14ac:dyDescent="0.3">
      <c r="A412" s="12">
        <v>411</v>
      </c>
      <c r="B412" s="2">
        <v>40562</v>
      </c>
      <c r="C412" s="12">
        <v>1</v>
      </c>
      <c r="D412" s="12">
        <v>2</v>
      </c>
      <c r="E412" t="b">
        <v>0</v>
      </c>
      <c r="F412" s="12">
        <v>3</v>
      </c>
      <c r="G412" s="12">
        <v>3</v>
      </c>
      <c r="H412" s="9">
        <v>0.22</v>
      </c>
      <c r="I412" t="s">
        <v>23</v>
      </c>
      <c r="J412" t="s">
        <v>13</v>
      </c>
      <c r="K412" t="s">
        <v>14</v>
      </c>
      <c r="L412" t="s">
        <v>24</v>
      </c>
    </row>
    <row r="413" spans="1:12" x14ac:dyDescent="0.3">
      <c r="A413" s="12">
        <v>412</v>
      </c>
      <c r="B413" s="2">
        <v>40562</v>
      </c>
      <c r="C413" s="12">
        <v>1</v>
      </c>
      <c r="D413" s="12">
        <v>4</v>
      </c>
      <c r="E413" t="b">
        <v>0</v>
      </c>
      <c r="F413" s="12">
        <v>3</v>
      </c>
      <c r="G413" s="12">
        <v>3</v>
      </c>
      <c r="H413" s="9">
        <v>0.22</v>
      </c>
      <c r="I413" t="s">
        <v>23</v>
      </c>
      <c r="J413" t="s">
        <v>13</v>
      </c>
      <c r="K413" t="s">
        <v>14</v>
      </c>
      <c r="L413" t="s">
        <v>24</v>
      </c>
    </row>
    <row r="414" spans="1:12" x14ac:dyDescent="0.3">
      <c r="A414" s="12">
        <v>413</v>
      </c>
      <c r="B414" s="2">
        <v>40562</v>
      </c>
      <c r="C414" s="12">
        <v>1</v>
      </c>
      <c r="D414" s="12">
        <v>5</v>
      </c>
      <c r="E414" t="b">
        <v>0</v>
      </c>
      <c r="F414" s="12">
        <v>3</v>
      </c>
      <c r="G414" s="12">
        <v>2</v>
      </c>
      <c r="H414" s="9">
        <v>0.22</v>
      </c>
      <c r="I414" t="s">
        <v>16</v>
      </c>
      <c r="J414" t="s">
        <v>13</v>
      </c>
      <c r="K414" t="s">
        <v>14</v>
      </c>
      <c r="L414" t="s">
        <v>24</v>
      </c>
    </row>
    <row r="415" spans="1:12" x14ac:dyDescent="0.3">
      <c r="A415" s="12">
        <v>414</v>
      </c>
      <c r="B415" s="2">
        <v>40562</v>
      </c>
      <c r="C415" s="12">
        <v>1</v>
      </c>
      <c r="D415" s="12">
        <v>6</v>
      </c>
      <c r="E415" t="b">
        <v>0</v>
      </c>
      <c r="F415" s="12">
        <v>3</v>
      </c>
      <c r="G415" s="12">
        <v>2</v>
      </c>
      <c r="H415" s="9">
        <v>0.22</v>
      </c>
      <c r="I415" t="s">
        <v>16</v>
      </c>
      <c r="J415" t="s">
        <v>17</v>
      </c>
      <c r="K415" t="s">
        <v>14</v>
      </c>
      <c r="L415" t="s">
        <v>24</v>
      </c>
    </row>
    <row r="416" spans="1:12" x14ac:dyDescent="0.3">
      <c r="A416" s="12">
        <v>415</v>
      </c>
      <c r="B416" s="2">
        <v>40562</v>
      </c>
      <c r="C416" s="12">
        <v>1</v>
      </c>
      <c r="D416" s="12">
        <v>7</v>
      </c>
      <c r="E416" t="b">
        <v>0</v>
      </c>
      <c r="F416" s="12">
        <v>3</v>
      </c>
      <c r="G416" s="12">
        <v>2</v>
      </c>
      <c r="H416" s="9">
        <v>0.24</v>
      </c>
      <c r="I416" t="s">
        <v>16</v>
      </c>
      <c r="J416" t="s">
        <v>17</v>
      </c>
      <c r="K416" t="s">
        <v>14</v>
      </c>
      <c r="L416" t="s">
        <v>24</v>
      </c>
    </row>
    <row r="417" spans="1:12" x14ac:dyDescent="0.3">
      <c r="A417" s="12">
        <v>416</v>
      </c>
      <c r="B417" s="2">
        <v>40562</v>
      </c>
      <c r="C417" s="12">
        <v>1</v>
      </c>
      <c r="D417" s="12">
        <v>8</v>
      </c>
      <c r="E417" t="b">
        <v>0</v>
      </c>
      <c r="F417" s="12">
        <v>3</v>
      </c>
      <c r="G417" s="12">
        <v>2</v>
      </c>
      <c r="H417" s="9">
        <v>0.24</v>
      </c>
      <c r="I417" t="s">
        <v>16</v>
      </c>
      <c r="J417" t="s">
        <v>17</v>
      </c>
      <c r="K417" t="s">
        <v>14</v>
      </c>
      <c r="L417" t="s">
        <v>24</v>
      </c>
    </row>
    <row r="418" spans="1:12" x14ac:dyDescent="0.3">
      <c r="A418" s="12">
        <v>417</v>
      </c>
      <c r="B418" s="2">
        <v>40562</v>
      </c>
      <c r="C418" s="12">
        <v>1</v>
      </c>
      <c r="D418" s="12">
        <v>9</v>
      </c>
      <c r="E418" t="b">
        <v>0</v>
      </c>
      <c r="F418" s="12">
        <v>3</v>
      </c>
      <c r="G418" s="12">
        <v>2</v>
      </c>
      <c r="H418" s="9">
        <v>0.24</v>
      </c>
      <c r="I418" t="s">
        <v>16</v>
      </c>
      <c r="J418" t="s">
        <v>17</v>
      </c>
      <c r="K418" t="s">
        <v>14</v>
      </c>
      <c r="L418" t="s">
        <v>24</v>
      </c>
    </row>
    <row r="419" spans="1:12" x14ac:dyDescent="0.3">
      <c r="A419" s="12">
        <v>418</v>
      </c>
      <c r="B419" s="2">
        <v>40562</v>
      </c>
      <c r="C419" s="12">
        <v>1</v>
      </c>
      <c r="D419" s="12">
        <v>10</v>
      </c>
      <c r="E419" t="b">
        <v>0</v>
      </c>
      <c r="F419" s="12">
        <v>3</v>
      </c>
      <c r="G419" s="12">
        <v>2</v>
      </c>
      <c r="H419" s="9">
        <v>0.26</v>
      </c>
      <c r="I419" t="s">
        <v>16</v>
      </c>
      <c r="J419" t="s">
        <v>17</v>
      </c>
      <c r="K419" t="s">
        <v>18</v>
      </c>
      <c r="L419" t="s">
        <v>24</v>
      </c>
    </row>
    <row r="420" spans="1:12" x14ac:dyDescent="0.3">
      <c r="A420" s="12">
        <v>419</v>
      </c>
      <c r="B420" s="2">
        <v>40562</v>
      </c>
      <c r="C420" s="12">
        <v>1</v>
      </c>
      <c r="D420" s="12">
        <v>11</v>
      </c>
      <c r="E420" t="b">
        <v>0</v>
      </c>
      <c r="F420" s="12">
        <v>3</v>
      </c>
      <c r="G420" s="12">
        <v>2</v>
      </c>
      <c r="H420" s="9">
        <v>0.28000000000000003</v>
      </c>
      <c r="I420" t="s">
        <v>16</v>
      </c>
      <c r="J420" t="s">
        <v>17</v>
      </c>
      <c r="K420" t="s">
        <v>18</v>
      </c>
      <c r="L420" t="s">
        <v>24</v>
      </c>
    </row>
    <row r="421" spans="1:12" x14ac:dyDescent="0.3">
      <c r="A421" s="12">
        <v>420</v>
      </c>
      <c r="B421" s="2">
        <v>40562</v>
      </c>
      <c r="C421" s="12">
        <v>1</v>
      </c>
      <c r="D421" s="12">
        <v>12</v>
      </c>
      <c r="E421" t="b">
        <v>0</v>
      </c>
      <c r="F421" s="12">
        <v>3</v>
      </c>
      <c r="G421" s="12">
        <v>2</v>
      </c>
      <c r="H421" s="9">
        <v>0.3</v>
      </c>
      <c r="I421" t="s">
        <v>16</v>
      </c>
      <c r="J421" t="s">
        <v>20</v>
      </c>
      <c r="K421" t="s">
        <v>18</v>
      </c>
      <c r="L421" t="s">
        <v>24</v>
      </c>
    </row>
    <row r="422" spans="1:12" x14ac:dyDescent="0.3">
      <c r="A422" s="12">
        <v>421</v>
      </c>
      <c r="B422" s="2">
        <v>40562</v>
      </c>
      <c r="C422" s="12">
        <v>1</v>
      </c>
      <c r="D422" s="12">
        <v>13</v>
      </c>
      <c r="E422" t="b">
        <v>0</v>
      </c>
      <c r="F422" s="12">
        <v>3</v>
      </c>
      <c r="G422" s="12">
        <v>1</v>
      </c>
      <c r="H422" s="9">
        <v>0.4</v>
      </c>
      <c r="I422" t="s">
        <v>12</v>
      </c>
      <c r="J422" t="s">
        <v>20</v>
      </c>
      <c r="K422" t="s">
        <v>19</v>
      </c>
      <c r="L422" t="s">
        <v>24</v>
      </c>
    </row>
    <row r="423" spans="1:12" x14ac:dyDescent="0.3">
      <c r="A423" s="12">
        <v>422</v>
      </c>
      <c r="B423" s="2">
        <v>40562</v>
      </c>
      <c r="C423" s="12">
        <v>1</v>
      </c>
      <c r="D423" s="12">
        <v>14</v>
      </c>
      <c r="E423" t="b">
        <v>0</v>
      </c>
      <c r="F423" s="12">
        <v>3</v>
      </c>
      <c r="G423" s="12">
        <v>1</v>
      </c>
      <c r="H423" s="9">
        <v>0.4</v>
      </c>
      <c r="I423" t="s">
        <v>12</v>
      </c>
      <c r="J423" t="s">
        <v>20</v>
      </c>
      <c r="K423" t="s">
        <v>19</v>
      </c>
      <c r="L423" t="s">
        <v>24</v>
      </c>
    </row>
    <row r="424" spans="1:12" x14ac:dyDescent="0.3">
      <c r="A424" s="12">
        <v>423</v>
      </c>
      <c r="B424" s="2">
        <v>40562</v>
      </c>
      <c r="C424" s="12">
        <v>1</v>
      </c>
      <c r="D424" s="12">
        <v>15</v>
      </c>
      <c r="E424" t="b">
        <v>0</v>
      </c>
      <c r="F424" s="12">
        <v>3</v>
      </c>
      <c r="G424" s="12">
        <v>1</v>
      </c>
      <c r="H424" s="9">
        <v>0.4</v>
      </c>
      <c r="I424" t="s">
        <v>12</v>
      </c>
      <c r="J424" t="s">
        <v>20</v>
      </c>
      <c r="K424" t="s">
        <v>19</v>
      </c>
      <c r="L424" t="s">
        <v>24</v>
      </c>
    </row>
    <row r="425" spans="1:12" x14ac:dyDescent="0.3">
      <c r="A425" s="12">
        <v>424</v>
      </c>
      <c r="B425" s="2">
        <v>40562</v>
      </c>
      <c r="C425" s="12">
        <v>1</v>
      </c>
      <c r="D425" s="12">
        <v>16</v>
      </c>
      <c r="E425" t="b">
        <v>0</v>
      </c>
      <c r="F425" s="12">
        <v>3</v>
      </c>
      <c r="G425" s="12">
        <v>1</v>
      </c>
      <c r="H425" s="9">
        <v>0.38</v>
      </c>
      <c r="I425" t="s">
        <v>12</v>
      </c>
      <c r="J425" t="s">
        <v>20</v>
      </c>
      <c r="K425" t="s">
        <v>19</v>
      </c>
      <c r="L425" t="s">
        <v>24</v>
      </c>
    </row>
    <row r="426" spans="1:12" x14ac:dyDescent="0.3">
      <c r="A426" s="12">
        <v>425</v>
      </c>
      <c r="B426" s="2">
        <v>40562</v>
      </c>
      <c r="C426" s="12">
        <v>1</v>
      </c>
      <c r="D426" s="12">
        <v>17</v>
      </c>
      <c r="E426" t="b">
        <v>0</v>
      </c>
      <c r="F426" s="12">
        <v>3</v>
      </c>
      <c r="G426" s="12">
        <v>1</v>
      </c>
      <c r="H426" s="9">
        <v>0.36</v>
      </c>
      <c r="I426" t="s">
        <v>12</v>
      </c>
      <c r="J426" t="s">
        <v>22</v>
      </c>
      <c r="K426" t="s">
        <v>19</v>
      </c>
      <c r="L426" t="s">
        <v>24</v>
      </c>
    </row>
    <row r="427" spans="1:12" x14ac:dyDescent="0.3">
      <c r="A427" s="12">
        <v>426</v>
      </c>
      <c r="B427" s="2">
        <v>40562</v>
      </c>
      <c r="C427" s="12">
        <v>1</v>
      </c>
      <c r="D427" s="12">
        <v>18</v>
      </c>
      <c r="E427" t="b">
        <v>0</v>
      </c>
      <c r="F427" s="12">
        <v>3</v>
      </c>
      <c r="G427" s="12">
        <v>1</v>
      </c>
      <c r="H427" s="9">
        <v>0.34</v>
      </c>
      <c r="I427" t="s">
        <v>12</v>
      </c>
      <c r="J427" t="s">
        <v>22</v>
      </c>
      <c r="K427" t="s">
        <v>18</v>
      </c>
      <c r="L427" t="s">
        <v>24</v>
      </c>
    </row>
    <row r="428" spans="1:12" x14ac:dyDescent="0.3">
      <c r="A428" s="12">
        <v>427</v>
      </c>
      <c r="B428" s="2">
        <v>40562</v>
      </c>
      <c r="C428" s="12">
        <v>1</v>
      </c>
      <c r="D428" s="12">
        <v>19</v>
      </c>
      <c r="E428" t="b">
        <v>0</v>
      </c>
      <c r="F428" s="12">
        <v>3</v>
      </c>
      <c r="G428" s="12">
        <v>1</v>
      </c>
      <c r="H428" s="9">
        <v>0.32</v>
      </c>
      <c r="I428" t="s">
        <v>12</v>
      </c>
      <c r="J428" t="s">
        <v>22</v>
      </c>
      <c r="K428" t="s">
        <v>18</v>
      </c>
      <c r="L428" t="s">
        <v>24</v>
      </c>
    </row>
    <row r="429" spans="1:12" x14ac:dyDescent="0.3">
      <c r="A429" s="12">
        <v>428</v>
      </c>
      <c r="B429" s="2">
        <v>40562</v>
      </c>
      <c r="C429" s="12">
        <v>1</v>
      </c>
      <c r="D429" s="12">
        <v>20</v>
      </c>
      <c r="E429" t="b">
        <v>0</v>
      </c>
      <c r="F429" s="12">
        <v>3</v>
      </c>
      <c r="G429" s="12">
        <v>1</v>
      </c>
      <c r="H429" s="9">
        <v>0.32</v>
      </c>
      <c r="I429" t="s">
        <v>12</v>
      </c>
      <c r="J429" t="s">
        <v>22</v>
      </c>
      <c r="K429" t="s">
        <v>18</v>
      </c>
      <c r="L429" t="s">
        <v>24</v>
      </c>
    </row>
    <row r="430" spans="1:12" x14ac:dyDescent="0.3">
      <c r="A430" s="12">
        <v>429</v>
      </c>
      <c r="B430" s="2">
        <v>40562</v>
      </c>
      <c r="C430" s="12">
        <v>1</v>
      </c>
      <c r="D430" s="12">
        <v>21</v>
      </c>
      <c r="E430" t="b">
        <v>0</v>
      </c>
      <c r="F430" s="12">
        <v>3</v>
      </c>
      <c r="G430" s="12">
        <v>1</v>
      </c>
      <c r="H430" s="9">
        <v>0.32</v>
      </c>
      <c r="I430" t="s">
        <v>12</v>
      </c>
      <c r="J430" t="s">
        <v>13</v>
      </c>
      <c r="K430" t="s">
        <v>18</v>
      </c>
      <c r="L430" t="s">
        <v>24</v>
      </c>
    </row>
    <row r="431" spans="1:12" x14ac:dyDescent="0.3">
      <c r="A431" s="12">
        <v>430</v>
      </c>
      <c r="B431" s="2">
        <v>40562</v>
      </c>
      <c r="C431" s="12">
        <v>1</v>
      </c>
      <c r="D431" s="12">
        <v>22</v>
      </c>
      <c r="E431" t="b">
        <v>0</v>
      </c>
      <c r="F431" s="12">
        <v>3</v>
      </c>
      <c r="G431" s="12">
        <v>1</v>
      </c>
      <c r="H431" s="9">
        <v>0.3</v>
      </c>
      <c r="I431" t="s">
        <v>12</v>
      </c>
      <c r="J431" t="s">
        <v>13</v>
      </c>
      <c r="K431" t="s">
        <v>18</v>
      </c>
      <c r="L431" t="s">
        <v>24</v>
      </c>
    </row>
    <row r="432" spans="1:12" x14ac:dyDescent="0.3">
      <c r="A432" s="12">
        <v>431</v>
      </c>
      <c r="B432" s="2">
        <v>40562</v>
      </c>
      <c r="C432" s="12">
        <v>1</v>
      </c>
      <c r="D432" s="12">
        <v>23</v>
      </c>
      <c r="E432" t="b">
        <v>0</v>
      </c>
      <c r="F432" s="12">
        <v>3</v>
      </c>
      <c r="G432" s="12">
        <v>1</v>
      </c>
      <c r="H432" s="9">
        <v>0.3</v>
      </c>
      <c r="I432" t="s">
        <v>12</v>
      </c>
      <c r="J432" t="s">
        <v>13</v>
      </c>
      <c r="K432" t="s">
        <v>18</v>
      </c>
      <c r="L432" t="s">
        <v>24</v>
      </c>
    </row>
    <row r="433" spans="1:12" x14ac:dyDescent="0.3">
      <c r="A433" s="12">
        <v>432</v>
      </c>
      <c r="B433" s="2">
        <v>40563</v>
      </c>
      <c r="C433" s="12">
        <v>1</v>
      </c>
      <c r="D433" s="12">
        <v>0</v>
      </c>
      <c r="E433" t="b">
        <v>0</v>
      </c>
      <c r="F433" s="12">
        <v>4</v>
      </c>
      <c r="G433" s="12">
        <v>1</v>
      </c>
      <c r="H433" s="9">
        <v>0.26</v>
      </c>
      <c r="I433" t="s">
        <v>12</v>
      </c>
      <c r="J433" t="s">
        <v>13</v>
      </c>
      <c r="K433" t="s">
        <v>18</v>
      </c>
      <c r="L433" t="s">
        <v>24</v>
      </c>
    </row>
    <row r="434" spans="1:12" x14ac:dyDescent="0.3">
      <c r="A434" s="12">
        <v>433</v>
      </c>
      <c r="B434" s="2">
        <v>40563</v>
      </c>
      <c r="C434" s="12">
        <v>1</v>
      </c>
      <c r="D434" s="12">
        <v>1</v>
      </c>
      <c r="E434" t="b">
        <v>0</v>
      </c>
      <c r="F434" s="12">
        <v>4</v>
      </c>
      <c r="G434" s="12">
        <v>1</v>
      </c>
      <c r="H434" s="9">
        <v>0.26</v>
      </c>
      <c r="I434" t="s">
        <v>12</v>
      </c>
      <c r="J434" t="s">
        <v>13</v>
      </c>
      <c r="K434" t="s">
        <v>18</v>
      </c>
      <c r="L434" t="s">
        <v>24</v>
      </c>
    </row>
    <row r="435" spans="1:12" x14ac:dyDescent="0.3">
      <c r="A435" s="12">
        <v>434</v>
      </c>
      <c r="B435" s="2">
        <v>40563</v>
      </c>
      <c r="C435" s="12">
        <v>1</v>
      </c>
      <c r="D435" s="12">
        <v>2</v>
      </c>
      <c r="E435" t="b">
        <v>0</v>
      </c>
      <c r="F435" s="12">
        <v>4</v>
      </c>
      <c r="G435" s="12">
        <v>1</v>
      </c>
      <c r="H435" s="9">
        <v>0.26</v>
      </c>
      <c r="I435" t="s">
        <v>12</v>
      </c>
      <c r="J435" t="s">
        <v>13</v>
      </c>
      <c r="K435" t="s">
        <v>18</v>
      </c>
      <c r="L435" t="s">
        <v>24</v>
      </c>
    </row>
    <row r="436" spans="1:12" x14ac:dyDescent="0.3">
      <c r="A436" s="12">
        <v>435</v>
      </c>
      <c r="B436" s="2">
        <v>40563</v>
      </c>
      <c r="C436" s="12">
        <v>1</v>
      </c>
      <c r="D436" s="12">
        <v>3</v>
      </c>
      <c r="E436" t="b">
        <v>0</v>
      </c>
      <c r="F436" s="12">
        <v>4</v>
      </c>
      <c r="G436" s="12">
        <v>1</v>
      </c>
      <c r="H436" s="9">
        <v>0.26</v>
      </c>
      <c r="I436" t="s">
        <v>12</v>
      </c>
      <c r="J436" t="s">
        <v>13</v>
      </c>
      <c r="K436" t="s">
        <v>18</v>
      </c>
      <c r="L436" t="s">
        <v>24</v>
      </c>
    </row>
    <row r="437" spans="1:12" x14ac:dyDescent="0.3">
      <c r="A437" s="12">
        <v>436</v>
      </c>
      <c r="B437" s="2">
        <v>40563</v>
      </c>
      <c r="C437" s="12">
        <v>1</v>
      </c>
      <c r="D437" s="12">
        <v>4</v>
      </c>
      <c r="E437" t="b">
        <v>0</v>
      </c>
      <c r="F437" s="12">
        <v>4</v>
      </c>
      <c r="G437" s="12">
        <v>1</v>
      </c>
      <c r="H437" s="9">
        <v>0.26</v>
      </c>
      <c r="I437" t="s">
        <v>12</v>
      </c>
      <c r="J437" t="s">
        <v>13</v>
      </c>
      <c r="K437" t="s">
        <v>18</v>
      </c>
      <c r="L437" t="s">
        <v>24</v>
      </c>
    </row>
    <row r="438" spans="1:12" x14ac:dyDescent="0.3">
      <c r="A438" s="12">
        <v>437</v>
      </c>
      <c r="B438" s="2">
        <v>40563</v>
      </c>
      <c r="C438" s="12">
        <v>1</v>
      </c>
      <c r="D438" s="12">
        <v>5</v>
      </c>
      <c r="E438" t="b">
        <v>0</v>
      </c>
      <c r="F438" s="12">
        <v>4</v>
      </c>
      <c r="G438" s="12">
        <v>1</v>
      </c>
      <c r="H438" s="9">
        <v>0.24</v>
      </c>
      <c r="I438" t="s">
        <v>12</v>
      </c>
      <c r="J438" t="s">
        <v>13</v>
      </c>
      <c r="K438" t="s">
        <v>14</v>
      </c>
      <c r="L438" t="s">
        <v>24</v>
      </c>
    </row>
    <row r="439" spans="1:12" x14ac:dyDescent="0.3">
      <c r="A439" s="12">
        <v>438</v>
      </c>
      <c r="B439" s="2">
        <v>40563</v>
      </c>
      <c r="C439" s="12">
        <v>1</v>
      </c>
      <c r="D439" s="12">
        <v>6</v>
      </c>
      <c r="E439" t="b">
        <v>0</v>
      </c>
      <c r="F439" s="12">
        <v>4</v>
      </c>
      <c r="G439" s="12">
        <v>1</v>
      </c>
      <c r="H439" s="9">
        <v>0.22</v>
      </c>
      <c r="I439" t="s">
        <v>12</v>
      </c>
      <c r="J439" t="s">
        <v>17</v>
      </c>
      <c r="K439" t="s">
        <v>14</v>
      </c>
      <c r="L439" t="s">
        <v>24</v>
      </c>
    </row>
    <row r="440" spans="1:12" x14ac:dyDescent="0.3">
      <c r="A440" s="12">
        <v>439</v>
      </c>
      <c r="B440" s="2">
        <v>40563</v>
      </c>
      <c r="C440" s="12">
        <v>1</v>
      </c>
      <c r="D440" s="12">
        <v>7</v>
      </c>
      <c r="E440" t="b">
        <v>0</v>
      </c>
      <c r="F440" s="12">
        <v>4</v>
      </c>
      <c r="G440" s="12">
        <v>1</v>
      </c>
      <c r="H440" s="9">
        <v>0.22</v>
      </c>
      <c r="I440" t="s">
        <v>12</v>
      </c>
      <c r="J440" t="s">
        <v>17</v>
      </c>
      <c r="K440" t="s">
        <v>14</v>
      </c>
      <c r="L440" t="s">
        <v>24</v>
      </c>
    </row>
    <row r="441" spans="1:12" x14ac:dyDescent="0.3">
      <c r="A441" s="12">
        <v>440</v>
      </c>
      <c r="B441" s="2">
        <v>40563</v>
      </c>
      <c r="C441" s="12">
        <v>1</v>
      </c>
      <c r="D441" s="12">
        <v>8</v>
      </c>
      <c r="E441" t="b">
        <v>0</v>
      </c>
      <c r="F441" s="12">
        <v>4</v>
      </c>
      <c r="G441" s="12">
        <v>1</v>
      </c>
      <c r="H441" s="9">
        <v>0.22</v>
      </c>
      <c r="I441" t="s">
        <v>12</v>
      </c>
      <c r="J441" t="s">
        <v>17</v>
      </c>
      <c r="K441" t="s">
        <v>14</v>
      </c>
      <c r="L441" t="s">
        <v>24</v>
      </c>
    </row>
    <row r="442" spans="1:12" x14ac:dyDescent="0.3">
      <c r="A442" s="12">
        <v>441</v>
      </c>
      <c r="B442" s="2">
        <v>40563</v>
      </c>
      <c r="C442" s="12">
        <v>1</v>
      </c>
      <c r="D442" s="12">
        <v>9</v>
      </c>
      <c r="E442" t="b">
        <v>0</v>
      </c>
      <c r="F442" s="12">
        <v>4</v>
      </c>
      <c r="G442" s="12">
        <v>2</v>
      </c>
      <c r="H442" s="9">
        <v>0.24</v>
      </c>
      <c r="I442" t="s">
        <v>16</v>
      </c>
      <c r="J442" t="s">
        <v>17</v>
      </c>
      <c r="K442" t="s">
        <v>14</v>
      </c>
      <c r="L442" t="s">
        <v>24</v>
      </c>
    </row>
    <row r="443" spans="1:12" x14ac:dyDescent="0.3">
      <c r="A443" s="12">
        <v>442</v>
      </c>
      <c r="B443" s="2">
        <v>40563</v>
      </c>
      <c r="C443" s="12">
        <v>1</v>
      </c>
      <c r="D443" s="12">
        <v>10</v>
      </c>
      <c r="E443" t="b">
        <v>0</v>
      </c>
      <c r="F443" s="12">
        <v>4</v>
      </c>
      <c r="G443" s="12">
        <v>1</v>
      </c>
      <c r="H443" s="9">
        <v>0.26</v>
      </c>
      <c r="I443" t="s">
        <v>12</v>
      </c>
      <c r="J443" t="s">
        <v>17</v>
      </c>
      <c r="K443" t="s">
        <v>18</v>
      </c>
      <c r="L443" t="s">
        <v>24</v>
      </c>
    </row>
    <row r="444" spans="1:12" x14ac:dyDescent="0.3">
      <c r="A444" s="12">
        <v>443</v>
      </c>
      <c r="B444" s="2">
        <v>40563</v>
      </c>
      <c r="C444" s="12">
        <v>1</v>
      </c>
      <c r="D444" s="12">
        <v>11</v>
      </c>
      <c r="E444" t="b">
        <v>0</v>
      </c>
      <c r="F444" s="12">
        <v>4</v>
      </c>
      <c r="G444" s="12">
        <v>2</v>
      </c>
      <c r="H444" s="9">
        <v>0.28000000000000003</v>
      </c>
      <c r="I444" t="s">
        <v>16</v>
      </c>
      <c r="J444" t="s">
        <v>17</v>
      </c>
      <c r="K444" t="s">
        <v>18</v>
      </c>
      <c r="L444" t="s">
        <v>24</v>
      </c>
    </row>
    <row r="445" spans="1:12" x14ac:dyDescent="0.3">
      <c r="A445" s="12">
        <v>444</v>
      </c>
      <c r="B445" s="2">
        <v>40563</v>
      </c>
      <c r="C445" s="12">
        <v>1</v>
      </c>
      <c r="D445" s="12">
        <v>12</v>
      </c>
      <c r="E445" t="b">
        <v>0</v>
      </c>
      <c r="F445" s="12">
        <v>4</v>
      </c>
      <c r="G445" s="12">
        <v>2</v>
      </c>
      <c r="H445" s="9">
        <v>0.3</v>
      </c>
      <c r="I445" t="s">
        <v>16</v>
      </c>
      <c r="J445" t="s">
        <v>20</v>
      </c>
      <c r="K445" t="s">
        <v>18</v>
      </c>
      <c r="L445" t="s">
        <v>24</v>
      </c>
    </row>
    <row r="446" spans="1:12" x14ac:dyDescent="0.3">
      <c r="A446" s="12">
        <v>445</v>
      </c>
      <c r="B446" s="2">
        <v>40563</v>
      </c>
      <c r="C446" s="12">
        <v>1</v>
      </c>
      <c r="D446" s="12">
        <v>13</v>
      </c>
      <c r="E446" t="b">
        <v>0</v>
      </c>
      <c r="F446" s="12">
        <v>4</v>
      </c>
      <c r="G446" s="12">
        <v>2</v>
      </c>
      <c r="H446" s="9">
        <v>0.28000000000000003</v>
      </c>
      <c r="I446" t="s">
        <v>16</v>
      </c>
      <c r="J446" t="s">
        <v>20</v>
      </c>
      <c r="K446" t="s">
        <v>18</v>
      </c>
      <c r="L446" t="s">
        <v>24</v>
      </c>
    </row>
    <row r="447" spans="1:12" x14ac:dyDescent="0.3">
      <c r="A447" s="12">
        <v>446</v>
      </c>
      <c r="B447" s="2">
        <v>40563</v>
      </c>
      <c r="C447" s="12">
        <v>1</v>
      </c>
      <c r="D447" s="12">
        <v>14</v>
      </c>
      <c r="E447" t="b">
        <v>0</v>
      </c>
      <c r="F447" s="12">
        <v>4</v>
      </c>
      <c r="G447" s="12">
        <v>2</v>
      </c>
      <c r="H447" s="9">
        <v>0.3</v>
      </c>
      <c r="I447" t="s">
        <v>16</v>
      </c>
      <c r="J447" t="s">
        <v>20</v>
      </c>
      <c r="K447" t="s">
        <v>18</v>
      </c>
      <c r="L447" t="s">
        <v>24</v>
      </c>
    </row>
    <row r="448" spans="1:12" x14ac:dyDescent="0.3">
      <c r="A448" s="12">
        <v>447</v>
      </c>
      <c r="B448" s="2">
        <v>40563</v>
      </c>
      <c r="C448" s="12">
        <v>1</v>
      </c>
      <c r="D448" s="12">
        <v>15</v>
      </c>
      <c r="E448" t="b">
        <v>0</v>
      </c>
      <c r="F448" s="12">
        <v>4</v>
      </c>
      <c r="G448" s="12">
        <v>2</v>
      </c>
      <c r="H448" s="9">
        <v>0.32</v>
      </c>
      <c r="I448" t="s">
        <v>16</v>
      </c>
      <c r="J448" t="s">
        <v>20</v>
      </c>
      <c r="K448" t="s">
        <v>18</v>
      </c>
      <c r="L448" t="s">
        <v>24</v>
      </c>
    </row>
    <row r="449" spans="1:12" x14ac:dyDescent="0.3">
      <c r="A449" s="12">
        <v>448</v>
      </c>
      <c r="B449" s="2">
        <v>40563</v>
      </c>
      <c r="C449" s="12">
        <v>1</v>
      </c>
      <c r="D449" s="12">
        <v>16</v>
      </c>
      <c r="E449" t="b">
        <v>0</v>
      </c>
      <c r="F449" s="12">
        <v>4</v>
      </c>
      <c r="G449" s="12">
        <v>2</v>
      </c>
      <c r="H449" s="9">
        <v>0.3</v>
      </c>
      <c r="I449" t="s">
        <v>16</v>
      </c>
      <c r="J449" t="s">
        <v>20</v>
      </c>
      <c r="K449" t="s">
        <v>18</v>
      </c>
      <c r="L449" t="s">
        <v>24</v>
      </c>
    </row>
    <row r="450" spans="1:12" x14ac:dyDescent="0.3">
      <c r="A450" s="12">
        <v>449</v>
      </c>
      <c r="B450" s="2">
        <v>40563</v>
      </c>
      <c r="C450" s="12">
        <v>1</v>
      </c>
      <c r="D450" s="12">
        <v>17</v>
      </c>
      <c r="E450" t="b">
        <v>0</v>
      </c>
      <c r="F450" s="12">
        <v>4</v>
      </c>
      <c r="G450" s="12">
        <v>2</v>
      </c>
      <c r="H450" s="9">
        <v>0.3</v>
      </c>
      <c r="I450" t="s">
        <v>16</v>
      </c>
      <c r="J450" t="s">
        <v>22</v>
      </c>
      <c r="K450" t="s">
        <v>18</v>
      </c>
      <c r="L450" t="s">
        <v>24</v>
      </c>
    </row>
    <row r="451" spans="1:12" x14ac:dyDescent="0.3">
      <c r="A451" s="12">
        <v>450</v>
      </c>
      <c r="B451" s="2">
        <v>40563</v>
      </c>
      <c r="C451" s="12">
        <v>1</v>
      </c>
      <c r="D451" s="12">
        <v>18</v>
      </c>
      <c r="E451" t="b">
        <v>0</v>
      </c>
      <c r="F451" s="12">
        <v>4</v>
      </c>
      <c r="G451" s="12">
        <v>2</v>
      </c>
      <c r="H451" s="9">
        <v>0.26</v>
      </c>
      <c r="I451" t="s">
        <v>16</v>
      </c>
      <c r="J451" t="s">
        <v>22</v>
      </c>
      <c r="K451" t="s">
        <v>18</v>
      </c>
      <c r="L451" t="s">
        <v>24</v>
      </c>
    </row>
    <row r="452" spans="1:12" x14ac:dyDescent="0.3">
      <c r="A452" s="12">
        <v>451</v>
      </c>
      <c r="B452" s="2">
        <v>40563</v>
      </c>
      <c r="C452" s="12">
        <v>1</v>
      </c>
      <c r="D452" s="12">
        <v>19</v>
      </c>
      <c r="E452" t="b">
        <v>0</v>
      </c>
      <c r="F452" s="12">
        <v>4</v>
      </c>
      <c r="G452" s="12">
        <v>1</v>
      </c>
      <c r="H452" s="9">
        <v>0.26</v>
      </c>
      <c r="I452" t="s">
        <v>12</v>
      </c>
      <c r="J452" t="s">
        <v>22</v>
      </c>
      <c r="K452" t="s">
        <v>18</v>
      </c>
      <c r="L452" t="s">
        <v>24</v>
      </c>
    </row>
    <row r="453" spans="1:12" x14ac:dyDescent="0.3">
      <c r="A453" s="12">
        <v>452</v>
      </c>
      <c r="B453" s="2">
        <v>40563</v>
      </c>
      <c r="C453" s="12">
        <v>1</v>
      </c>
      <c r="D453" s="12">
        <v>20</v>
      </c>
      <c r="E453" t="b">
        <v>0</v>
      </c>
      <c r="F453" s="12">
        <v>4</v>
      </c>
      <c r="G453" s="12">
        <v>2</v>
      </c>
      <c r="H453" s="9">
        <v>0.26</v>
      </c>
      <c r="I453" t="s">
        <v>16</v>
      </c>
      <c r="J453" t="s">
        <v>22</v>
      </c>
      <c r="K453" t="s">
        <v>18</v>
      </c>
      <c r="L453" t="s">
        <v>24</v>
      </c>
    </row>
    <row r="454" spans="1:12" x14ac:dyDescent="0.3">
      <c r="A454" s="12">
        <v>453</v>
      </c>
      <c r="B454" s="2">
        <v>40563</v>
      </c>
      <c r="C454" s="12">
        <v>1</v>
      </c>
      <c r="D454" s="12">
        <v>21</v>
      </c>
      <c r="E454" t="b">
        <v>0</v>
      </c>
      <c r="F454" s="12">
        <v>4</v>
      </c>
      <c r="G454" s="12">
        <v>2</v>
      </c>
      <c r="H454" s="9">
        <v>0.24</v>
      </c>
      <c r="I454" t="s">
        <v>16</v>
      </c>
      <c r="J454" t="s">
        <v>13</v>
      </c>
      <c r="K454" t="s">
        <v>14</v>
      </c>
      <c r="L454" t="s">
        <v>24</v>
      </c>
    </row>
    <row r="455" spans="1:12" x14ac:dyDescent="0.3">
      <c r="A455" s="12">
        <v>454</v>
      </c>
      <c r="B455" s="2">
        <v>40563</v>
      </c>
      <c r="C455" s="12">
        <v>1</v>
      </c>
      <c r="D455" s="12">
        <v>22</v>
      </c>
      <c r="E455" t="b">
        <v>0</v>
      </c>
      <c r="F455" s="12">
        <v>4</v>
      </c>
      <c r="G455" s="12">
        <v>2</v>
      </c>
      <c r="H455" s="9">
        <v>0.24</v>
      </c>
      <c r="I455" t="s">
        <v>16</v>
      </c>
      <c r="J455" t="s">
        <v>13</v>
      </c>
      <c r="K455" t="s">
        <v>14</v>
      </c>
      <c r="L455" t="s">
        <v>24</v>
      </c>
    </row>
    <row r="456" spans="1:12" x14ac:dyDescent="0.3">
      <c r="A456" s="12">
        <v>455</v>
      </c>
      <c r="B456" s="2">
        <v>40563</v>
      </c>
      <c r="C456" s="12">
        <v>1</v>
      </c>
      <c r="D456" s="12">
        <v>23</v>
      </c>
      <c r="E456" t="b">
        <v>0</v>
      </c>
      <c r="F456" s="12">
        <v>4</v>
      </c>
      <c r="G456" s="12">
        <v>2</v>
      </c>
      <c r="H456" s="9">
        <v>0.24</v>
      </c>
      <c r="I456" t="s">
        <v>16</v>
      </c>
      <c r="J456" t="s">
        <v>13</v>
      </c>
      <c r="K456" t="s">
        <v>14</v>
      </c>
      <c r="L456" t="s">
        <v>24</v>
      </c>
    </row>
    <row r="457" spans="1:12" x14ac:dyDescent="0.3">
      <c r="A457" s="12">
        <v>456</v>
      </c>
      <c r="B457" s="2">
        <v>40564</v>
      </c>
      <c r="C457" s="12">
        <v>1</v>
      </c>
      <c r="D457" s="12">
        <v>0</v>
      </c>
      <c r="E457" t="b">
        <v>0</v>
      </c>
      <c r="F457" s="12">
        <v>5</v>
      </c>
      <c r="G457" s="12">
        <v>2</v>
      </c>
      <c r="H457" s="9">
        <v>0.24</v>
      </c>
      <c r="I457" t="s">
        <v>16</v>
      </c>
      <c r="J457" t="s">
        <v>13</v>
      </c>
      <c r="K457" t="s">
        <v>14</v>
      </c>
      <c r="L457" t="s">
        <v>24</v>
      </c>
    </row>
    <row r="458" spans="1:12" x14ac:dyDescent="0.3">
      <c r="A458" s="12">
        <v>457</v>
      </c>
      <c r="B458" s="2">
        <v>40564</v>
      </c>
      <c r="C458" s="12">
        <v>1</v>
      </c>
      <c r="D458" s="12">
        <v>1</v>
      </c>
      <c r="E458" t="b">
        <v>0</v>
      </c>
      <c r="F458" s="12">
        <v>5</v>
      </c>
      <c r="G458" s="12">
        <v>2</v>
      </c>
      <c r="H458" s="9">
        <v>0.24</v>
      </c>
      <c r="I458" t="s">
        <v>16</v>
      </c>
      <c r="J458" t="s">
        <v>13</v>
      </c>
      <c r="K458" t="s">
        <v>14</v>
      </c>
      <c r="L458" t="s">
        <v>24</v>
      </c>
    </row>
    <row r="459" spans="1:12" x14ac:dyDescent="0.3">
      <c r="A459" s="12">
        <v>458</v>
      </c>
      <c r="B459" s="2">
        <v>40564</v>
      </c>
      <c r="C459" s="12">
        <v>1</v>
      </c>
      <c r="D459" s="12">
        <v>2</v>
      </c>
      <c r="E459" t="b">
        <v>0</v>
      </c>
      <c r="F459" s="12">
        <v>5</v>
      </c>
      <c r="G459" s="12">
        <v>3</v>
      </c>
      <c r="H459" s="9">
        <v>0.24</v>
      </c>
      <c r="I459" t="s">
        <v>23</v>
      </c>
      <c r="J459" t="s">
        <v>13</v>
      </c>
      <c r="K459" t="s">
        <v>14</v>
      </c>
      <c r="L459" t="s">
        <v>24</v>
      </c>
    </row>
    <row r="460" spans="1:12" x14ac:dyDescent="0.3">
      <c r="A460" s="12">
        <v>459</v>
      </c>
      <c r="B460" s="2">
        <v>40564</v>
      </c>
      <c r="C460" s="12">
        <v>1</v>
      </c>
      <c r="D460" s="12">
        <v>3</v>
      </c>
      <c r="E460" t="b">
        <v>0</v>
      </c>
      <c r="F460" s="12">
        <v>5</v>
      </c>
      <c r="G460" s="12">
        <v>3</v>
      </c>
      <c r="H460" s="9">
        <v>0.22</v>
      </c>
      <c r="I460" t="s">
        <v>23</v>
      </c>
      <c r="J460" t="s">
        <v>13</v>
      </c>
      <c r="K460" t="s">
        <v>14</v>
      </c>
      <c r="L460" t="s">
        <v>24</v>
      </c>
    </row>
    <row r="461" spans="1:12" x14ac:dyDescent="0.3">
      <c r="A461" s="12">
        <v>460</v>
      </c>
      <c r="B461" s="2">
        <v>40564</v>
      </c>
      <c r="C461" s="12">
        <v>1</v>
      </c>
      <c r="D461" s="12">
        <v>4</v>
      </c>
      <c r="E461" t="b">
        <v>0</v>
      </c>
      <c r="F461" s="12">
        <v>5</v>
      </c>
      <c r="G461" s="12">
        <v>2</v>
      </c>
      <c r="H461" s="9">
        <v>0.22</v>
      </c>
      <c r="I461" t="s">
        <v>16</v>
      </c>
      <c r="J461" t="s">
        <v>13</v>
      </c>
      <c r="K461" t="s">
        <v>14</v>
      </c>
      <c r="L461" t="s">
        <v>24</v>
      </c>
    </row>
    <row r="462" spans="1:12" x14ac:dyDescent="0.3">
      <c r="A462" s="12">
        <v>461</v>
      </c>
      <c r="B462" s="2">
        <v>40564</v>
      </c>
      <c r="C462" s="12">
        <v>1</v>
      </c>
      <c r="D462" s="12">
        <v>5</v>
      </c>
      <c r="E462" t="b">
        <v>0</v>
      </c>
      <c r="F462" s="12">
        <v>5</v>
      </c>
      <c r="G462" s="12">
        <v>1</v>
      </c>
      <c r="H462" s="9">
        <v>0.24</v>
      </c>
      <c r="I462" t="s">
        <v>12</v>
      </c>
      <c r="J462" t="s">
        <v>13</v>
      </c>
      <c r="K462" t="s">
        <v>14</v>
      </c>
      <c r="L462" t="s">
        <v>24</v>
      </c>
    </row>
    <row r="463" spans="1:12" x14ac:dyDescent="0.3">
      <c r="A463" s="12">
        <v>462</v>
      </c>
      <c r="B463" s="2">
        <v>40564</v>
      </c>
      <c r="C463" s="12">
        <v>1</v>
      </c>
      <c r="D463" s="12">
        <v>6</v>
      </c>
      <c r="E463" t="b">
        <v>0</v>
      </c>
      <c r="F463" s="12">
        <v>5</v>
      </c>
      <c r="G463" s="12">
        <v>1</v>
      </c>
      <c r="H463" s="9">
        <v>0.22</v>
      </c>
      <c r="I463" t="s">
        <v>12</v>
      </c>
      <c r="J463" t="s">
        <v>17</v>
      </c>
      <c r="K463" t="s">
        <v>14</v>
      </c>
      <c r="L463" t="s">
        <v>24</v>
      </c>
    </row>
    <row r="464" spans="1:12" x14ac:dyDescent="0.3">
      <c r="A464" s="12">
        <v>463</v>
      </c>
      <c r="B464" s="2">
        <v>40564</v>
      </c>
      <c r="C464" s="12">
        <v>1</v>
      </c>
      <c r="D464" s="12">
        <v>7</v>
      </c>
      <c r="E464" t="b">
        <v>0</v>
      </c>
      <c r="F464" s="12">
        <v>5</v>
      </c>
      <c r="G464" s="12">
        <v>1</v>
      </c>
      <c r="H464" s="9">
        <v>0.2</v>
      </c>
      <c r="I464" t="s">
        <v>12</v>
      </c>
      <c r="J464" t="s">
        <v>17</v>
      </c>
      <c r="K464" t="s">
        <v>14</v>
      </c>
      <c r="L464" t="s">
        <v>24</v>
      </c>
    </row>
    <row r="465" spans="1:12" x14ac:dyDescent="0.3">
      <c r="A465" s="12">
        <v>464</v>
      </c>
      <c r="B465" s="2">
        <v>40564</v>
      </c>
      <c r="C465" s="12">
        <v>1</v>
      </c>
      <c r="D465" s="12">
        <v>8</v>
      </c>
      <c r="E465" t="b">
        <v>0</v>
      </c>
      <c r="F465" s="12">
        <v>5</v>
      </c>
      <c r="G465" s="12">
        <v>1</v>
      </c>
      <c r="H465" s="9">
        <v>0.2</v>
      </c>
      <c r="I465" t="s">
        <v>12</v>
      </c>
      <c r="J465" t="s">
        <v>17</v>
      </c>
      <c r="K465" t="s">
        <v>14</v>
      </c>
      <c r="L465" t="s">
        <v>24</v>
      </c>
    </row>
    <row r="466" spans="1:12" x14ac:dyDescent="0.3">
      <c r="A466" s="12">
        <v>465</v>
      </c>
      <c r="B466" s="2">
        <v>40564</v>
      </c>
      <c r="C466" s="12">
        <v>1</v>
      </c>
      <c r="D466" s="12">
        <v>9</v>
      </c>
      <c r="E466" t="b">
        <v>0</v>
      </c>
      <c r="F466" s="12">
        <v>5</v>
      </c>
      <c r="G466" s="12">
        <v>1</v>
      </c>
      <c r="H466" s="9">
        <v>0.2</v>
      </c>
      <c r="I466" t="s">
        <v>12</v>
      </c>
      <c r="J466" t="s">
        <v>17</v>
      </c>
      <c r="K466" t="s">
        <v>14</v>
      </c>
      <c r="L466" t="s">
        <v>24</v>
      </c>
    </row>
    <row r="467" spans="1:12" x14ac:dyDescent="0.3">
      <c r="A467" s="12">
        <v>466</v>
      </c>
      <c r="B467" s="2">
        <v>40564</v>
      </c>
      <c r="C467" s="12">
        <v>1</v>
      </c>
      <c r="D467" s="12">
        <v>10</v>
      </c>
      <c r="E467" t="b">
        <v>0</v>
      </c>
      <c r="F467" s="12">
        <v>5</v>
      </c>
      <c r="G467" s="12">
        <v>1</v>
      </c>
      <c r="H467" s="9">
        <v>0.2</v>
      </c>
      <c r="I467" t="s">
        <v>12</v>
      </c>
      <c r="J467" t="s">
        <v>17</v>
      </c>
      <c r="K467" t="s">
        <v>14</v>
      </c>
      <c r="L467" t="s">
        <v>24</v>
      </c>
    </row>
    <row r="468" spans="1:12" x14ac:dyDescent="0.3">
      <c r="A468" s="12">
        <v>467</v>
      </c>
      <c r="B468" s="2">
        <v>40564</v>
      </c>
      <c r="C468" s="12">
        <v>1</v>
      </c>
      <c r="D468" s="12">
        <v>11</v>
      </c>
      <c r="E468" t="b">
        <v>0</v>
      </c>
      <c r="F468" s="12">
        <v>5</v>
      </c>
      <c r="G468" s="12">
        <v>1</v>
      </c>
      <c r="H468" s="9">
        <v>0.22</v>
      </c>
      <c r="I468" t="s">
        <v>12</v>
      </c>
      <c r="J468" t="s">
        <v>17</v>
      </c>
      <c r="K468" t="s">
        <v>14</v>
      </c>
      <c r="L468" t="s">
        <v>24</v>
      </c>
    </row>
    <row r="469" spans="1:12" x14ac:dyDescent="0.3">
      <c r="A469" s="12">
        <v>468</v>
      </c>
      <c r="B469" s="2">
        <v>40564</v>
      </c>
      <c r="C469" s="12">
        <v>1</v>
      </c>
      <c r="D469" s="12">
        <v>12</v>
      </c>
      <c r="E469" t="b">
        <v>0</v>
      </c>
      <c r="F469" s="12">
        <v>5</v>
      </c>
      <c r="G469" s="12">
        <v>1</v>
      </c>
      <c r="H469" s="9">
        <v>0.22</v>
      </c>
      <c r="I469" t="s">
        <v>12</v>
      </c>
      <c r="J469" t="s">
        <v>20</v>
      </c>
      <c r="K469" t="s">
        <v>14</v>
      </c>
      <c r="L469" t="s">
        <v>24</v>
      </c>
    </row>
    <row r="470" spans="1:12" x14ac:dyDescent="0.3">
      <c r="A470" s="12">
        <v>469</v>
      </c>
      <c r="B470" s="2">
        <v>40564</v>
      </c>
      <c r="C470" s="12">
        <v>1</v>
      </c>
      <c r="D470" s="12">
        <v>13</v>
      </c>
      <c r="E470" t="b">
        <v>0</v>
      </c>
      <c r="F470" s="12">
        <v>5</v>
      </c>
      <c r="G470" s="12">
        <v>1</v>
      </c>
      <c r="H470" s="9">
        <v>0.2</v>
      </c>
      <c r="I470" t="s">
        <v>12</v>
      </c>
      <c r="J470" t="s">
        <v>20</v>
      </c>
      <c r="K470" t="s">
        <v>14</v>
      </c>
      <c r="L470" t="s">
        <v>24</v>
      </c>
    </row>
    <row r="471" spans="1:12" x14ac:dyDescent="0.3">
      <c r="A471" s="12">
        <v>470</v>
      </c>
      <c r="B471" s="2">
        <v>40564</v>
      </c>
      <c r="C471" s="12">
        <v>1</v>
      </c>
      <c r="D471" s="12">
        <v>14</v>
      </c>
      <c r="E471" t="b">
        <v>0</v>
      </c>
      <c r="F471" s="12">
        <v>5</v>
      </c>
      <c r="G471" s="12">
        <v>1</v>
      </c>
      <c r="H471" s="9">
        <v>0.2</v>
      </c>
      <c r="I471" t="s">
        <v>12</v>
      </c>
      <c r="J471" t="s">
        <v>20</v>
      </c>
      <c r="K471" t="s">
        <v>14</v>
      </c>
      <c r="L471" t="s">
        <v>24</v>
      </c>
    </row>
    <row r="472" spans="1:12" x14ac:dyDescent="0.3">
      <c r="A472" s="12">
        <v>471</v>
      </c>
      <c r="B472" s="2">
        <v>40564</v>
      </c>
      <c r="C472" s="12">
        <v>1</v>
      </c>
      <c r="D472" s="12">
        <v>15</v>
      </c>
      <c r="E472" t="b">
        <v>0</v>
      </c>
      <c r="F472" s="12">
        <v>5</v>
      </c>
      <c r="G472" s="12">
        <v>1</v>
      </c>
      <c r="H472" s="9">
        <v>0.16</v>
      </c>
      <c r="I472" t="s">
        <v>12</v>
      </c>
      <c r="J472" t="s">
        <v>20</v>
      </c>
      <c r="K472" t="s">
        <v>14</v>
      </c>
      <c r="L472" t="s">
        <v>24</v>
      </c>
    </row>
    <row r="473" spans="1:12" x14ac:dyDescent="0.3">
      <c r="A473" s="12">
        <v>472</v>
      </c>
      <c r="B473" s="2">
        <v>40564</v>
      </c>
      <c r="C473" s="12">
        <v>1</v>
      </c>
      <c r="D473" s="12">
        <v>16</v>
      </c>
      <c r="E473" t="b">
        <v>0</v>
      </c>
      <c r="F473" s="12">
        <v>5</v>
      </c>
      <c r="G473" s="12">
        <v>1</v>
      </c>
      <c r="H473" s="9">
        <v>0.16</v>
      </c>
      <c r="I473" t="s">
        <v>12</v>
      </c>
      <c r="J473" t="s">
        <v>20</v>
      </c>
      <c r="K473" t="s">
        <v>14</v>
      </c>
      <c r="L473" t="s">
        <v>24</v>
      </c>
    </row>
    <row r="474" spans="1:12" x14ac:dyDescent="0.3">
      <c r="A474" s="12">
        <v>473</v>
      </c>
      <c r="B474" s="2">
        <v>40564</v>
      </c>
      <c r="C474" s="12">
        <v>1</v>
      </c>
      <c r="D474" s="12">
        <v>17</v>
      </c>
      <c r="E474" t="b">
        <v>0</v>
      </c>
      <c r="F474" s="12">
        <v>5</v>
      </c>
      <c r="G474" s="12">
        <v>1</v>
      </c>
      <c r="H474" s="9">
        <v>0.14000000000000001</v>
      </c>
      <c r="I474" t="s">
        <v>12</v>
      </c>
      <c r="J474" t="s">
        <v>22</v>
      </c>
      <c r="K474" t="s">
        <v>25</v>
      </c>
      <c r="L474" t="s">
        <v>24</v>
      </c>
    </row>
    <row r="475" spans="1:12" x14ac:dyDescent="0.3">
      <c r="A475" s="12">
        <v>474</v>
      </c>
      <c r="B475" s="2">
        <v>40564</v>
      </c>
      <c r="C475" s="12">
        <v>1</v>
      </c>
      <c r="D475" s="12">
        <v>18</v>
      </c>
      <c r="E475" t="b">
        <v>0</v>
      </c>
      <c r="F475" s="12">
        <v>5</v>
      </c>
      <c r="G475" s="12">
        <v>1</v>
      </c>
      <c r="H475" s="9">
        <v>0.12</v>
      </c>
      <c r="I475" t="s">
        <v>12</v>
      </c>
      <c r="J475" t="s">
        <v>22</v>
      </c>
      <c r="K475" t="s">
        <v>25</v>
      </c>
      <c r="L475" t="s">
        <v>24</v>
      </c>
    </row>
    <row r="476" spans="1:12" x14ac:dyDescent="0.3">
      <c r="A476" s="12">
        <v>475</v>
      </c>
      <c r="B476" s="2">
        <v>40564</v>
      </c>
      <c r="C476" s="12">
        <v>1</v>
      </c>
      <c r="D476" s="12">
        <v>19</v>
      </c>
      <c r="E476" t="b">
        <v>0</v>
      </c>
      <c r="F476" s="12">
        <v>5</v>
      </c>
      <c r="G476" s="12">
        <v>1</v>
      </c>
      <c r="H476" s="9">
        <v>0.12</v>
      </c>
      <c r="I476" t="s">
        <v>12</v>
      </c>
      <c r="J476" t="s">
        <v>22</v>
      </c>
      <c r="K476" t="s">
        <v>25</v>
      </c>
      <c r="L476" t="s">
        <v>24</v>
      </c>
    </row>
    <row r="477" spans="1:12" x14ac:dyDescent="0.3">
      <c r="A477" s="12">
        <v>476</v>
      </c>
      <c r="B477" s="2">
        <v>40564</v>
      </c>
      <c r="C477" s="12">
        <v>1</v>
      </c>
      <c r="D477" s="12">
        <v>20</v>
      </c>
      <c r="E477" t="b">
        <v>0</v>
      </c>
      <c r="F477" s="12">
        <v>5</v>
      </c>
      <c r="G477" s="12">
        <v>1</v>
      </c>
      <c r="H477" s="9">
        <v>0.1</v>
      </c>
      <c r="I477" t="s">
        <v>12</v>
      </c>
      <c r="J477" t="s">
        <v>22</v>
      </c>
      <c r="K477" t="s">
        <v>25</v>
      </c>
      <c r="L477" t="s">
        <v>24</v>
      </c>
    </row>
    <row r="478" spans="1:12" x14ac:dyDescent="0.3">
      <c r="A478" s="12">
        <v>477</v>
      </c>
      <c r="B478" s="2">
        <v>40564</v>
      </c>
      <c r="C478" s="12">
        <v>1</v>
      </c>
      <c r="D478" s="12">
        <v>21</v>
      </c>
      <c r="E478" t="b">
        <v>0</v>
      </c>
      <c r="F478" s="12">
        <v>5</v>
      </c>
      <c r="G478" s="12">
        <v>1</v>
      </c>
      <c r="H478" s="9">
        <v>0.08</v>
      </c>
      <c r="I478" t="s">
        <v>12</v>
      </c>
      <c r="J478" t="s">
        <v>13</v>
      </c>
      <c r="K478" t="s">
        <v>25</v>
      </c>
      <c r="L478" t="s">
        <v>24</v>
      </c>
    </row>
    <row r="479" spans="1:12" x14ac:dyDescent="0.3">
      <c r="A479" s="12">
        <v>478</v>
      </c>
      <c r="B479" s="2">
        <v>40564</v>
      </c>
      <c r="C479" s="12">
        <v>1</v>
      </c>
      <c r="D479" s="12">
        <v>22</v>
      </c>
      <c r="E479" t="b">
        <v>0</v>
      </c>
      <c r="F479" s="12">
        <v>5</v>
      </c>
      <c r="G479" s="12">
        <v>1</v>
      </c>
      <c r="H479" s="9">
        <v>0.06</v>
      </c>
      <c r="I479" t="s">
        <v>12</v>
      </c>
      <c r="J479" t="s">
        <v>13</v>
      </c>
      <c r="K479" t="s">
        <v>25</v>
      </c>
      <c r="L479" t="s">
        <v>24</v>
      </c>
    </row>
    <row r="480" spans="1:12" x14ac:dyDescent="0.3">
      <c r="A480" s="12">
        <v>479</v>
      </c>
      <c r="B480" s="2">
        <v>40564</v>
      </c>
      <c r="C480" s="12">
        <v>1</v>
      </c>
      <c r="D480" s="12">
        <v>23</v>
      </c>
      <c r="E480" t="b">
        <v>0</v>
      </c>
      <c r="F480" s="12">
        <v>5</v>
      </c>
      <c r="G480" s="12">
        <v>1</v>
      </c>
      <c r="H480" s="9">
        <v>0.06</v>
      </c>
      <c r="I480" t="s">
        <v>12</v>
      </c>
      <c r="J480" t="s">
        <v>13</v>
      </c>
      <c r="K480" t="s">
        <v>25</v>
      </c>
      <c r="L480" t="s">
        <v>24</v>
      </c>
    </row>
    <row r="481" spans="1:12" x14ac:dyDescent="0.3">
      <c r="A481" s="12">
        <v>480</v>
      </c>
      <c r="B481" s="2">
        <v>40565</v>
      </c>
      <c r="C481" s="12">
        <v>1</v>
      </c>
      <c r="D481" s="12">
        <v>0</v>
      </c>
      <c r="E481" t="b">
        <v>0</v>
      </c>
      <c r="F481" s="12">
        <v>6</v>
      </c>
      <c r="G481" s="12">
        <v>1</v>
      </c>
      <c r="H481" s="9">
        <v>0.04</v>
      </c>
      <c r="I481" t="s">
        <v>12</v>
      </c>
      <c r="J481" t="s">
        <v>13</v>
      </c>
      <c r="K481" t="s">
        <v>25</v>
      </c>
      <c r="L481" t="s">
        <v>15</v>
      </c>
    </row>
    <row r="482" spans="1:12" x14ac:dyDescent="0.3">
      <c r="A482" s="12">
        <v>481</v>
      </c>
      <c r="B482" s="2">
        <v>40565</v>
      </c>
      <c r="C482" s="12">
        <v>1</v>
      </c>
      <c r="D482" s="12">
        <v>1</v>
      </c>
      <c r="E482" t="b">
        <v>0</v>
      </c>
      <c r="F482" s="12">
        <v>6</v>
      </c>
      <c r="G482" s="12">
        <v>2</v>
      </c>
      <c r="H482" s="9">
        <v>0.04</v>
      </c>
      <c r="I482" t="s">
        <v>16</v>
      </c>
      <c r="J482" t="s">
        <v>13</v>
      </c>
      <c r="K482" t="s">
        <v>25</v>
      </c>
      <c r="L482" t="s">
        <v>15</v>
      </c>
    </row>
    <row r="483" spans="1:12" x14ac:dyDescent="0.3">
      <c r="A483" s="12">
        <v>482</v>
      </c>
      <c r="B483" s="2">
        <v>40565</v>
      </c>
      <c r="C483" s="12">
        <v>1</v>
      </c>
      <c r="D483" s="12">
        <v>2</v>
      </c>
      <c r="E483" t="b">
        <v>0</v>
      </c>
      <c r="F483" s="12">
        <v>6</v>
      </c>
      <c r="G483" s="12">
        <v>2</v>
      </c>
      <c r="H483" s="9">
        <v>0.04</v>
      </c>
      <c r="I483" t="s">
        <v>16</v>
      </c>
      <c r="J483" t="s">
        <v>13</v>
      </c>
      <c r="K483" t="s">
        <v>25</v>
      </c>
      <c r="L483" t="s">
        <v>15</v>
      </c>
    </row>
    <row r="484" spans="1:12" x14ac:dyDescent="0.3">
      <c r="A484" s="12">
        <v>483</v>
      </c>
      <c r="B484" s="2">
        <v>40565</v>
      </c>
      <c r="C484" s="12">
        <v>1</v>
      </c>
      <c r="D484" s="12">
        <v>3</v>
      </c>
      <c r="E484" t="b">
        <v>0</v>
      </c>
      <c r="F484" s="12">
        <v>6</v>
      </c>
      <c r="G484" s="12">
        <v>2</v>
      </c>
      <c r="H484" s="9">
        <v>0.04</v>
      </c>
      <c r="I484" t="s">
        <v>16</v>
      </c>
      <c r="J484" t="s">
        <v>13</v>
      </c>
      <c r="K484" t="s">
        <v>25</v>
      </c>
      <c r="L484" t="s">
        <v>15</v>
      </c>
    </row>
    <row r="485" spans="1:12" x14ac:dyDescent="0.3">
      <c r="A485" s="12">
        <v>484</v>
      </c>
      <c r="B485" s="2">
        <v>40565</v>
      </c>
      <c r="C485" s="12">
        <v>1</v>
      </c>
      <c r="D485" s="12">
        <v>4</v>
      </c>
      <c r="E485" t="b">
        <v>0</v>
      </c>
      <c r="F485" s="12">
        <v>6</v>
      </c>
      <c r="G485" s="12">
        <v>2</v>
      </c>
      <c r="H485" s="9">
        <v>0.02</v>
      </c>
      <c r="I485" t="s">
        <v>16</v>
      </c>
      <c r="J485" t="s">
        <v>13</v>
      </c>
      <c r="K485" t="s">
        <v>25</v>
      </c>
      <c r="L485" t="s">
        <v>15</v>
      </c>
    </row>
    <row r="486" spans="1:12" x14ac:dyDescent="0.3">
      <c r="A486" s="12">
        <v>485</v>
      </c>
      <c r="B486" s="2">
        <v>40565</v>
      </c>
      <c r="C486" s="12">
        <v>1</v>
      </c>
      <c r="D486" s="12">
        <v>6</v>
      </c>
      <c r="E486" t="b">
        <v>0</v>
      </c>
      <c r="F486" s="12">
        <v>6</v>
      </c>
      <c r="G486" s="12">
        <v>2</v>
      </c>
      <c r="H486" s="9">
        <v>0.02</v>
      </c>
      <c r="I486" t="s">
        <v>16</v>
      </c>
      <c r="J486" t="s">
        <v>17</v>
      </c>
      <c r="K486" t="s">
        <v>25</v>
      </c>
      <c r="L486" t="s">
        <v>15</v>
      </c>
    </row>
    <row r="487" spans="1:12" x14ac:dyDescent="0.3">
      <c r="A487" s="12">
        <v>486</v>
      </c>
      <c r="B487" s="2">
        <v>40565</v>
      </c>
      <c r="C487" s="12">
        <v>1</v>
      </c>
      <c r="D487" s="12">
        <v>7</v>
      </c>
      <c r="E487" t="b">
        <v>0</v>
      </c>
      <c r="F487" s="12">
        <v>6</v>
      </c>
      <c r="G487" s="12">
        <v>1</v>
      </c>
      <c r="H487" s="9">
        <v>0.02</v>
      </c>
      <c r="I487" t="s">
        <v>12</v>
      </c>
      <c r="J487" t="s">
        <v>17</v>
      </c>
      <c r="K487" t="s">
        <v>25</v>
      </c>
      <c r="L487" t="s">
        <v>15</v>
      </c>
    </row>
    <row r="488" spans="1:12" x14ac:dyDescent="0.3">
      <c r="A488" s="12">
        <v>487</v>
      </c>
      <c r="B488" s="2">
        <v>40565</v>
      </c>
      <c r="C488" s="12">
        <v>1</v>
      </c>
      <c r="D488" s="12">
        <v>8</v>
      </c>
      <c r="E488" t="b">
        <v>0</v>
      </c>
      <c r="F488" s="12">
        <v>6</v>
      </c>
      <c r="G488" s="12">
        <v>1</v>
      </c>
      <c r="H488" s="9">
        <v>0.02</v>
      </c>
      <c r="I488" t="s">
        <v>12</v>
      </c>
      <c r="J488" t="s">
        <v>17</v>
      </c>
      <c r="K488" t="s">
        <v>25</v>
      </c>
      <c r="L488" t="s">
        <v>15</v>
      </c>
    </row>
    <row r="489" spans="1:12" x14ac:dyDescent="0.3">
      <c r="A489" s="12">
        <v>488</v>
      </c>
      <c r="B489" s="2">
        <v>40565</v>
      </c>
      <c r="C489" s="12">
        <v>1</v>
      </c>
      <c r="D489" s="12">
        <v>9</v>
      </c>
      <c r="E489" t="b">
        <v>0</v>
      </c>
      <c r="F489" s="12">
        <v>6</v>
      </c>
      <c r="G489" s="12">
        <v>1</v>
      </c>
      <c r="H489" s="9">
        <v>0.04</v>
      </c>
      <c r="I489" t="s">
        <v>12</v>
      </c>
      <c r="J489" t="s">
        <v>17</v>
      </c>
      <c r="K489" t="s">
        <v>25</v>
      </c>
      <c r="L489" t="s">
        <v>15</v>
      </c>
    </row>
    <row r="490" spans="1:12" x14ac:dyDescent="0.3">
      <c r="A490" s="12">
        <v>489</v>
      </c>
      <c r="B490" s="2">
        <v>40565</v>
      </c>
      <c r="C490" s="12">
        <v>1</v>
      </c>
      <c r="D490" s="12">
        <v>10</v>
      </c>
      <c r="E490" t="b">
        <v>0</v>
      </c>
      <c r="F490" s="12">
        <v>6</v>
      </c>
      <c r="G490" s="12">
        <v>2</v>
      </c>
      <c r="H490" s="9">
        <v>0.04</v>
      </c>
      <c r="I490" t="s">
        <v>16</v>
      </c>
      <c r="J490" t="s">
        <v>17</v>
      </c>
      <c r="K490" t="s">
        <v>25</v>
      </c>
      <c r="L490" t="s">
        <v>15</v>
      </c>
    </row>
    <row r="491" spans="1:12" x14ac:dyDescent="0.3">
      <c r="A491" s="12">
        <v>490</v>
      </c>
      <c r="B491" s="2">
        <v>40565</v>
      </c>
      <c r="C491" s="12">
        <v>1</v>
      </c>
      <c r="D491" s="12">
        <v>11</v>
      </c>
      <c r="E491" t="b">
        <v>0</v>
      </c>
      <c r="F491" s="12">
        <v>6</v>
      </c>
      <c r="G491" s="12">
        <v>2</v>
      </c>
      <c r="H491" s="9">
        <v>0.06</v>
      </c>
      <c r="I491" t="s">
        <v>16</v>
      </c>
      <c r="J491" t="s">
        <v>17</v>
      </c>
      <c r="K491" t="s">
        <v>25</v>
      </c>
      <c r="L491" t="s">
        <v>15</v>
      </c>
    </row>
    <row r="492" spans="1:12" x14ac:dyDescent="0.3">
      <c r="A492" s="12">
        <v>491</v>
      </c>
      <c r="B492" s="2">
        <v>40565</v>
      </c>
      <c r="C492" s="12">
        <v>1</v>
      </c>
      <c r="D492" s="12">
        <v>12</v>
      </c>
      <c r="E492" t="b">
        <v>0</v>
      </c>
      <c r="F492" s="12">
        <v>6</v>
      </c>
      <c r="G492" s="12">
        <v>2</v>
      </c>
      <c r="H492" s="9">
        <v>0.06</v>
      </c>
      <c r="I492" t="s">
        <v>16</v>
      </c>
      <c r="J492" t="s">
        <v>20</v>
      </c>
      <c r="K492" t="s">
        <v>25</v>
      </c>
      <c r="L492" t="s">
        <v>15</v>
      </c>
    </row>
    <row r="493" spans="1:12" x14ac:dyDescent="0.3">
      <c r="A493" s="12">
        <v>492</v>
      </c>
      <c r="B493" s="2">
        <v>40565</v>
      </c>
      <c r="C493" s="12">
        <v>1</v>
      </c>
      <c r="D493" s="12">
        <v>13</v>
      </c>
      <c r="E493" t="b">
        <v>0</v>
      </c>
      <c r="F493" s="12">
        <v>6</v>
      </c>
      <c r="G493" s="12">
        <v>1</v>
      </c>
      <c r="H493" s="9">
        <v>0.08</v>
      </c>
      <c r="I493" t="s">
        <v>12</v>
      </c>
      <c r="J493" t="s">
        <v>20</v>
      </c>
      <c r="K493" t="s">
        <v>25</v>
      </c>
      <c r="L493" t="s">
        <v>15</v>
      </c>
    </row>
    <row r="494" spans="1:12" x14ac:dyDescent="0.3">
      <c r="A494" s="12">
        <v>493</v>
      </c>
      <c r="B494" s="2">
        <v>40565</v>
      </c>
      <c r="C494" s="12">
        <v>1</v>
      </c>
      <c r="D494" s="12">
        <v>14</v>
      </c>
      <c r="E494" t="b">
        <v>0</v>
      </c>
      <c r="F494" s="12">
        <v>6</v>
      </c>
      <c r="G494" s="12">
        <v>1</v>
      </c>
      <c r="H494" s="9">
        <v>0.1</v>
      </c>
      <c r="I494" t="s">
        <v>12</v>
      </c>
      <c r="J494" t="s">
        <v>20</v>
      </c>
      <c r="K494" t="s">
        <v>25</v>
      </c>
      <c r="L494" t="s">
        <v>15</v>
      </c>
    </row>
    <row r="495" spans="1:12" x14ac:dyDescent="0.3">
      <c r="A495" s="12">
        <v>494</v>
      </c>
      <c r="B495" s="2">
        <v>40565</v>
      </c>
      <c r="C495" s="12">
        <v>1</v>
      </c>
      <c r="D495" s="12">
        <v>15</v>
      </c>
      <c r="E495" t="b">
        <v>0</v>
      </c>
      <c r="F495" s="12">
        <v>6</v>
      </c>
      <c r="G495" s="12">
        <v>1</v>
      </c>
      <c r="H495" s="9">
        <v>0.12</v>
      </c>
      <c r="I495" t="s">
        <v>12</v>
      </c>
      <c r="J495" t="s">
        <v>20</v>
      </c>
      <c r="K495" t="s">
        <v>25</v>
      </c>
      <c r="L495" t="s">
        <v>15</v>
      </c>
    </row>
    <row r="496" spans="1:12" x14ac:dyDescent="0.3">
      <c r="A496" s="12">
        <v>495</v>
      </c>
      <c r="B496" s="2">
        <v>40565</v>
      </c>
      <c r="C496" s="12">
        <v>1</v>
      </c>
      <c r="D496" s="12">
        <v>16</v>
      </c>
      <c r="E496" t="b">
        <v>0</v>
      </c>
      <c r="F496" s="12">
        <v>6</v>
      </c>
      <c r="G496" s="12">
        <v>1</v>
      </c>
      <c r="H496" s="9">
        <v>0.12</v>
      </c>
      <c r="I496" t="s">
        <v>12</v>
      </c>
      <c r="J496" t="s">
        <v>20</v>
      </c>
      <c r="K496" t="s">
        <v>25</v>
      </c>
      <c r="L496" t="s">
        <v>15</v>
      </c>
    </row>
    <row r="497" spans="1:12" x14ac:dyDescent="0.3">
      <c r="A497" s="12">
        <v>496</v>
      </c>
      <c r="B497" s="2">
        <v>40565</v>
      </c>
      <c r="C497" s="12">
        <v>1</v>
      </c>
      <c r="D497" s="12">
        <v>17</v>
      </c>
      <c r="E497" t="b">
        <v>0</v>
      </c>
      <c r="F497" s="12">
        <v>6</v>
      </c>
      <c r="G497" s="12">
        <v>1</v>
      </c>
      <c r="H497" s="9">
        <v>0.12</v>
      </c>
      <c r="I497" t="s">
        <v>12</v>
      </c>
      <c r="J497" t="s">
        <v>22</v>
      </c>
      <c r="K497" t="s">
        <v>25</v>
      </c>
      <c r="L497" t="s">
        <v>15</v>
      </c>
    </row>
    <row r="498" spans="1:12" x14ac:dyDescent="0.3">
      <c r="A498" s="12">
        <v>497</v>
      </c>
      <c r="B498" s="2">
        <v>40565</v>
      </c>
      <c r="C498" s="12">
        <v>1</v>
      </c>
      <c r="D498" s="12">
        <v>18</v>
      </c>
      <c r="E498" t="b">
        <v>0</v>
      </c>
      <c r="F498" s="12">
        <v>6</v>
      </c>
      <c r="G498" s="12">
        <v>1</v>
      </c>
      <c r="H498" s="9">
        <v>0.08</v>
      </c>
      <c r="I498" t="s">
        <v>12</v>
      </c>
      <c r="J498" t="s">
        <v>22</v>
      </c>
      <c r="K498" t="s">
        <v>25</v>
      </c>
      <c r="L498" t="s">
        <v>15</v>
      </c>
    </row>
    <row r="499" spans="1:12" x14ac:dyDescent="0.3">
      <c r="A499" s="12">
        <v>498</v>
      </c>
      <c r="B499" s="2">
        <v>40565</v>
      </c>
      <c r="C499" s="12">
        <v>1</v>
      </c>
      <c r="D499" s="12">
        <v>19</v>
      </c>
      <c r="E499" t="b">
        <v>0</v>
      </c>
      <c r="F499" s="12">
        <v>6</v>
      </c>
      <c r="G499" s="12">
        <v>1</v>
      </c>
      <c r="H499" s="9">
        <v>0.08</v>
      </c>
      <c r="I499" t="s">
        <v>12</v>
      </c>
      <c r="J499" t="s">
        <v>22</v>
      </c>
      <c r="K499" t="s">
        <v>25</v>
      </c>
      <c r="L499" t="s">
        <v>15</v>
      </c>
    </row>
    <row r="500" spans="1:12" x14ac:dyDescent="0.3">
      <c r="A500" s="12">
        <v>499</v>
      </c>
      <c r="B500" s="2">
        <v>40565</v>
      </c>
      <c r="C500" s="12">
        <v>1</v>
      </c>
      <c r="D500" s="12">
        <v>20</v>
      </c>
      <c r="E500" t="b">
        <v>0</v>
      </c>
      <c r="F500" s="12">
        <v>6</v>
      </c>
      <c r="G500" s="12">
        <v>1</v>
      </c>
      <c r="H500" s="9">
        <v>0.06</v>
      </c>
      <c r="I500" t="s">
        <v>12</v>
      </c>
      <c r="J500" t="s">
        <v>22</v>
      </c>
      <c r="K500" t="s">
        <v>25</v>
      </c>
      <c r="L500" t="s">
        <v>15</v>
      </c>
    </row>
    <row r="501" spans="1:12" x14ac:dyDescent="0.3">
      <c r="A501" s="12">
        <v>500</v>
      </c>
      <c r="B501" s="2">
        <v>40565</v>
      </c>
      <c r="C501" s="12">
        <v>1</v>
      </c>
      <c r="D501" s="12">
        <v>21</v>
      </c>
      <c r="E501" t="b">
        <v>0</v>
      </c>
      <c r="F501" s="12">
        <v>6</v>
      </c>
      <c r="G501" s="12">
        <v>1</v>
      </c>
      <c r="H501" s="9">
        <v>0.06</v>
      </c>
      <c r="I501" t="s">
        <v>12</v>
      </c>
      <c r="J501" t="s">
        <v>13</v>
      </c>
      <c r="K501" t="s">
        <v>25</v>
      </c>
      <c r="L501" t="s">
        <v>15</v>
      </c>
    </row>
    <row r="502" spans="1:12" x14ac:dyDescent="0.3">
      <c r="A502" s="12">
        <v>501</v>
      </c>
      <c r="B502" s="2">
        <v>40565</v>
      </c>
      <c r="C502" s="12">
        <v>1</v>
      </c>
      <c r="D502" s="12">
        <v>22</v>
      </c>
      <c r="E502" t="b">
        <v>0</v>
      </c>
      <c r="F502" s="12">
        <v>6</v>
      </c>
      <c r="G502" s="12">
        <v>1</v>
      </c>
      <c r="H502" s="9">
        <v>0.06</v>
      </c>
      <c r="I502" t="s">
        <v>12</v>
      </c>
      <c r="J502" t="s">
        <v>13</v>
      </c>
      <c r="K502" t="s">
        <v>25</v>
      </c>
      <c r="L502" t="s">
        <v>15</v>
      </c>
    </row>
    <row r="503" spans="1:12" x14ac:dyDescent="0.3">
      <c r="A503" s="12">
        <v>502</v>
      </c>
      <c r="B503" s="2">
        <v>40565</v>
      </c>
      <c r="C503" s="12">
        <v>1</v>
      </c>
      <c r="D503" s="12">
        <v>23</v>
      </c>
      <c r="E503" t="b">
        <v>0</v>
      </c>
      <c r="F503" s="12">
        <v>6</v>
      </c>
      <c r="G503" s="12">
        <v>1</v>
      </c>
      <c r="H503" s="9">
        <v>0.04</v>
      </c>
      <c r="I503" t="s">
        <v>12</v>
      </c>
      <c r="J503" t="s">
        <v>13</v>
      </c>
      <c r="K503" t="s">
        <v>25</v>
      </c>
      <c r="L503" t="s">
        <v>15</v>
      </c>
    </row>
    <row r="504" spans="1:12" x14ac:dyDescent="0.3">
      <c r="A504" s="12">
        <v>503</v>
      </c>
      <c r="B504" s="2">
        <v>40566</v>
      </c>
      <c r="C504" s="12">
        <v>1</v>
      </c>
      <c r="D504" s="12">
        <v>0</v>
      </c>
      <c r="E504" t="b">
        <v>0</v>
      </c>
      <c r="F504" s="12">
        <v>0</v>
      </c>
      <c r="G504" s="12">
        <v>1</v>
      </c>
      <c r="H504" s="9">
        <v>0.04</v>
      </c>
      <c r="I504" t="s">
        <v>12</v>
      </c>
      <c r="J504" t="s">
        <v>13</v>
      </c>
      <c r="K504" t="s">
        <v>25</v>
      </c>
      <c r="L504" t="s">
        <v>15</v>
      </c>
    </row>
    <row r="505" spans="1:12" x14ac:dyDescent="0.3">
      <c r="A505" s="12">
        <v>504</v>
      </c>
      <c r="B505" s="2">
        <v>40566</v>
      </c>
      <c r="C505" s="12">
        <v>1</v>
      </c>
      <c r="D505" s="12">
        <v>1</v>
      </c>
      <c r="E505" t="b">
        <v>0</v>
      </c>
      <c r="F505" s="12">
        <v>0</v>
      </c>
      <c r="G505" s="12">
        <v>1</v>
      </c>
      <c r="H505" s="9">
        <v>0.04</v>
      </c>
      <c r="I505" t="s">
        <v>12</v>
      </c>
      <c r="J505" t="s">
        <v>13</v>
      </c>
      <c r="K505" t="s">
        <v>25</v>
      </c>
      <c r="L505" t="s">
        <v>15</v>
      </c>
    </row>
    <row r="506" spans="1:12" x14ac:dyDescent="0.3">
      <c r="A506" s="12">
        <v>505</v>
      </c>
      <c r="B506" s="2">
        <v>40566</v>
      </c>
      <c r="C506" s="12">
        <v>1</v>
      </c>
      <c r="D506" s="12">
        <v>2</v>
      </c>
      <c r="E506" t="b">
        <v>0</v>
      </c>
      <c r="F506" s="12">
        <v>0</v>
      </c>
      <c r="G506" s="12">
        <v>1</v>
      </c>
      <c r="H506" s="9">
        <v>0.02</v>
      </c>
      <c r="I506" t="s">
        <v>12</v>
      </c>
      <c r="J506" t="s">
        <v>13</v>
      </c>
      <c r="K506" t="s">
        <v>25</v>
      </c>
      <c r="L506" t="s">
        <v>15</v>
      </c>
    </row>
    <row r="507" spans="1:12" x14ac:dyDescent="0.3">
      <c r="A507" s="12">
        <v>506</v>
      </c>
      <c r="B507" s="2">
        <v>40566</v>
      </c>
      <c r="C507" s="12">
        <v>1</v>
      </c>
      <c r="D507" s="12">
        <v>3</v>
      </c>
      <c r="E507" t="b">
        <v>0</v>
      </c>
      <c r="F507" s="12">
        <v>0</v>
      </c>
      <c r="G507" s="12">
        <v>1</v>
      </c>
      <c r="H507" s="9">
        <v>0.02</v>
      </c>
      <c r="I507" t="s">
        <v>12</v>
      </c>
      <c r="J507" t="s">
        <v>13</v>
      </c>
      <c r="K507" t="s">
        <v>25</v>
      </c>
      <c r="L507" t="s">
        <v>15</v>
      </c>
    </row>
    <row r="508" spans="1:12" x14ac:dyDescent="0.3">
      <c r="A508" s="12">
        <v>507</v>
      </c>
      <c r="B508" s="2">
        <v>40566</v>
      </c>
      <c r="C508" s="12">
        <v>1</v>
      </c>
      <c r="D508" s="12">
        <v>5</v>
      </c>
      <c r="E508" t="b">
        <v>0</v>
      </c>
      <c r="F508" s="12">
        <v>0</v>
      </c>
      <c r="G508" s="12">
        <v>2</v>
      </c>
      <c r="H508" s="9">
        <v>0.04</v>
      </c>
      <c r="I508" t="s">
        <v>16</v>
      </c>
      <c r="J508" t="s">
        <v>13</v>
      </c>
      <c r="K508" t="s">
        <v>25</v>
      </c>
      <c r="L508" t="s">
        <v>15</v>
      </c>
    </row>
    <row r="509" spans="1:12" x14ac:dyDescent="0.3">
      <c r="A509" s="12">
        <v>508</v>
      </c>
      <c r="B509" s="2">
        <v>40566</v>
      </c>
      <c r="C509" s="12">
        <v>1</v>
      </c>
      <c r="D509" s="12">
        <v>6</v>
      </c>
      <c r="E509" t="b">
        <v>0</v>
      </c>
      <c r="F509" s="12">
        <v>0</v>
      </c>
      <c r="G509" s="12">
        <v>2</v>
      </c>
      <c r="H509" s="9">
        <v>0.04</v>
      </c>
      <c r="I509" t="s">
        <v>16</v>
      </c>
      <c r="J509" t="s">
        <v>17</v>
      </c>
      <c r="K509" t="s">
        <v>25</v>
      </c>
      <c r="L509" t="s">
        <v>15</v>
      </c>
    </row>
    <row r="510" spans="1:12" x14ac:dyDescent="0.3">
      <c r="A510" s="12">
        <v>509</v>
      </c>
      <c r="B510" s="2">
        <v>40566</v>
      </c>
      <c r="C510" s="12">
        <v>1</v>
      </c>
      <c r="D510" s="12">
        <v>7</v>
      </c>
      <c r="E510" t="b">
        <v>0</v>
      </c>
      <c r="F510" s="12">
        <v>0</v>
      </c>
      <c r="G510" s="12">
        <v>1</v>
      </c>
      <c r="H510" s="9">
        <v>0.08</v>
      </c>
      <c r="I510" t="s">
        <v>12</v>
      </c>
      <c r="J510" t="s">
        <v>17</v>
      </c>
      <c r="K510" t="s">
        <v>25</v>
      </c>
      <c r="L510" t="s">
        <v>15</v>
      </c>
    </row>
    <row r="511" spans="1:12" x14ac:dyDescent="0.3">
      <c r="A511" s="12">
        <v>510</v>
      </c>
      <c r="B511" s="2">
        <v>40566</v>
      </c>
      <c r="C511" s="12">
        <v>1</v>
      </c>
      <c r="D511" s="12">
        <v>8</v>
      </c>
      <c r="E511" t="b">
        <v>0</v>
      </c>
      <c r="F511" s="12">
        <v>0</v>
      </c>
      <c r="G511" s="12">
        <v>1</v>
      </c>
      <c r="H511" s="9">
        <v>0.06</v>
      </c>
      <c r="I511" t="s">
        <v>12</v>
      </c>
      <c r="J511" t="s">
        <v>17</v>
      </c>
      <c r="K511" t="s">
        <v>25</v>
      </c>
      <c r="L511" t="s">
        <v>15</v>
      </c>
    </row>
    <row r="512" spans="1:12" x14ac:dyDescent="0.3">
      <c r="A512" s="12">
        <v>511</v>
      </c>
      <c r="B512" s="2">
        <v>40566</v>
      </c>
      <c r="C512" s="12">
        <v>1</v>
      </c>
      <c r="D512" s="12">
        <v>9</v>
      </c>
      <c r="E512" t="b">
        <v>0</v>
      </c>
      <c r="F512" s="12">
        <v>0</v>
      </c>
      <c r="G512" s="12">
        <v>1</v>
      </c>
      <c r="H512" s="9">
        <v>0.1</v>
      </c>
      <c r="I512" t="s">
        <v>12</v>
      </c>
      <c r="J512" t="s">
        <v>17</v>
      </c>
      <c r="K512" t="s">
        <v>25</v>
      </c>
      <c r="L512" t="s">
        <v>15</v>
      </c>
    </row>
    <row r="513" spans="1:12" x14ac:dyDescent="0.3">
      <c r="A513" s="12">
        <v>512</v>
      </c>
      <c r="B513" s="2">
        <v>40566</v>
      </c>
      <c r="C513" s="12">
        <v>1</v>
      </c>
      <c r="D513" s="12">
        <v>10</v>
      </c>
      <c r="E513" t="b">
        <v>0</v>
      </c>
      <c r="F513" s="12">
        <v>0</v>
      </c>
      <c r="G513" s="12">
        <v>1</v>
      </c>
      <c r="H513" s="9">
        <v>0.14000000000000001</v>
      </c>
      <c r="I513" t="s">
        <v>12</v>
      </c>
      <c r="J513" t="s">
        <v>17</v>
      </c>
      <c r="K513" t="s">
        <v>25</v>
      </c>
      <c r="L513" t="s">
        <v>15</v>
      </c>
    </row>
    <row r="514" spans="1:12" x14ac:dyDescent="0.3">
      <c r="A514" s="12">
        <v>513</v>
      </c>
      <c r="B514" s="2">
        <v>40566</v>
      </c>
      <c r="C514" s="12">
        <v>1</v>
      </c>
      <c r="D514" s="12">
        <v>11</v>
      </c>
      <c r="E514" t="b">
        <v>0</v>
      </c>
      <c r="F514" s="12">
        <v>0</v>
      </c>
      <c r="G514" s="12">
        <v>1</v>
      </c>
      <c r="H514" s="9">
        <v>0.14000000000000001</v>
      </c>
      <c r="I514" t="s">
        <v>12</v>
      </c>
      <c r="J514" t="s">
        <v>17</v>
      </c>
      <c r="K514" t="s">
        <v>25</v>
      </c>
      <c r="L514" t="s">
        <v>15</v>
      </c>
    </row>
    <row r="515" spans="1:12" x14ac:dyDescent="0.3">
      <c r="A515" s="12">
        <v>514</v>
      </c>
      <c r="B515" s="2">
        <v>40566</v>
      </c>
      <c r="C515" s="12">
        <v>1</v>
      </c>
      <c r="D515" s="12">
        <v>12</v>
      </c>
      <c r="E515" t="b">
        <v>0</v>
      </c>
      <c r="F515" s="12">
        <v>0</v>
      </c>
      <c r="G515" s="12">
        <v>1</v>
      </c>
      <c r="H515" s="9">
        <v>0.16</v>
      </c>
      <c r="I515" t="s">
        <v>12</v>
      </c>
      <c r="J515" t="s">
        <v>20</v>
      </c>
      <c r="K515" t="s">
        <v>14</v>
      </c>
      <c r="L515" t="s">
        <v>15</v>
      </c>
    </row>
    <row r="516" spans="1:12" x14ac:dyDescent="0.3">
      <c r="A516" s="12">
        <v>515</v>
      </c>
      <c r="B516" s="2">
        <v>40566</v>
      </c>
      <c r="C516" s="12">
        <v>1</v>
      </c>
      <c r="D516" s="12">
        <v>13</v>
      </c>
      <c r="E516" t="b">
        <v>0</v>
      </c>
      <c r="F516" s="12">
        <v>0</v>
      </c>
      <c r="G516" s="12">
        <v>1</v>
      </c>
      <c r="H516" s="9">
        <v>0.14000000000000001</v>
      </c>
      <c r="I516" t="s">
        <v>12</v>
      </c>
      <c r="J516" t="s">
        <v>20</v>
      </c>
      <c r="K516" t="s">
        <v>25</v>
      </c>
      <c r="L516" t="s">
        <v>15</v>
      </c>
    </row>
    <row r="517" spans="1:12" x14ac:dyDescent="0.3">
      <c r="A517" s="12">
        <v>516</v>
      </c>
      <c r="B517" s="2">
        <v>40566</v>
      </c>
      <c r="C517" s="12">
        <v>1</v>
      </c>
      <c r="D517" s="12">
        <v>14</v>
      </c>
      <c r="E517" t="b">
        <v>0</v>
      </c>
      <c r="F517" s="12">
        <v>0</v>
      </c>
      <c r="G517" s="12">
        <v>1</v>
      </c>
      <c r="H517" s="9">
        <v>0.16</v>
      </c>
      <c r="I517" t="s">
        <v>12</v>
      </c>
      <c r="J517" t="s">
        <v>20</v>
      </c>
      <c r="K517" t="s">
        <v>14</v>
      </c>
      <c r="L517" t="s">
        <v>15</v>
      </c>
    </row>
    <row r="518" spans="1:12" x14ac:dyDescent="0.3">
      <c r="A518" s="12">
        <v>517</v>
      </c>
      <c r="B518" s="2">
        <v>40566</v>
      </c>
      <c r="C518" s="12">
        <v>1</v>
      </c>
      <c r="D518" s="12">
        <v>15</v>
      </c>
      <c r="E518" t="b">
        <v>0</v>
      </c>
      <c r="F518" s="12">
        <v>0</v>
      </c>
      <c r="G518" s="12">
        <v>1</v>
      </c>
      <c r="H518" s="9">
        <v>0.16</v>
      </c>
      <c r="I518" t="s">
        <v>12</v>
      </c>
      <c r="J518" t="s">
        <v>20</v>
      </c>
      <c r="K518" t="s">
        <v>14</v>
      </c>
      <c r="L518" t="s">
        <v>15</v>
      </c>
    </row>
    <row r="519" spans="1:12" x14ac:dyDescent="0.3">
      <c r="A519" s="12">
        <v>518</v>
      </c>
      <c r="B519" s="2">
        <v>40566</v>
      </c>
      <c r="C519" s="12">
        <v>1</v>
      </c>
      <c r="D519" s="12">
        <v>16</v>
      </c>
      <c r="E519" t="b">
        <v>0</v>
      </c>
      <c r="F519" s="12">
        <v>0</v>
      </c>
      <c r="G519" s="12">
        <v>1</v>
      </c>
      <c r="H519" s="9">
        <v>0.16</v>
      </c>
      <c r="I519" t="s">
        <v>12</v>
      </c>
      <c r="J519" t="s">
        <v>20</v>
      </c>
      <c r="K519" t="s">
        <v>14</v>
      </c>
      <c r="L519" t="s">
        <v>15</v>
      </c>
    </row>
    <row r="520" spans="1:12" x14ac:dyDescent="0.3">
      <c r="A520" s="12">
        <v>519</v>
      </c>
      <c r="B520" s="2">
        <v>40566</v>
      </c>
      <c r="C520" s="12">
        <v>1</v>
      </c>
      <c r="D520" s="12">
        <v>17</v>
      </c>
      <c r="E520" t="b">
        <v>0</v>
      </c>
      <c r="F520" s="12">
        <v>0</v>
      </c>
      <c r="G520" s="12">
        <v>1</v>
      </c>
      <c r="H520" s="9">
        <v>0.14000000000000001</v>
      </c>
      <c r="I520" t="s">
        <v>12</v>
      </c>
      <c r="J520" t="s">
        <v>22</v>
      </c>
      <c r="K520" t="s">
        <v>25</v>
      </c>
      <c r="L520" t="s">
        <v>15</v>
      </c>
    </row>
    <row r="521" spans="1:12" x14ac:dyDescent="0.3">
      <c r="A521" s="12">
        <v>520</v>
      </c>
      <c r="B521" s="2">
        <v>40566</v>
      </c>
      <c r="C521" s="12">
        <v>1</v>
      </c>
      <c r="D521" s="12">
        <v>18</v>
      </c>
      <c r="E521" t="b">
        <v>0</v>
      </c>
      <c r="F521" s="12">
        <v>0</v>
      </c>
      <c r="G521" s="12">
        <v>1</v>
      </c>
      <c r="H521" s="9">
        <v>0.12</v>
      </c>
      <c r="I521" t="s">
        <v>12</v>
      </c>
      <c r="J521" t="s">
        <v>22</v>
      </c>
      <c r="K521" t="s">
        <v>25</v>
      </c>
      <c r="L521" t="s">
        <v>15</v>
      </c>
    </row>
    <row r="522" spans="1:12" x14ac:dyDescent="0.3">
      <c r="A522" s="12">
        <v>521</v>
      </c>
      <c r="B522" s="2">
        <v>40566</v>
      </c>
      <c r="C522" s="12">
        <v>1</v>
      </c>
      <c r="D522" s="12">
        <v>19</v>
      </c>
      <c r="E522" t="b">
        <v>0</v>
      </c>
      <c r="F522" s="12">
        <v>0</v>
      </c>
      <c r="G522" s="12">
        <v>1</v>
      </c>
      <c r="H522" s="9">
        <v>0.12</v>
      </c>
      <c r="I522" t="s">
        <v>12</v>
      </c>
      <c r="J522" t="s">
        <v>22</v>
      </c>
      <c r="K522" t="s">
        <v>25</v>
      </c>
      <c r="L522" t="s">
        <v>15</v>
      </c>
    </row>
    <row r="523" spans="1:12" x14ac:dyDescent="0.3">
      <c r="A523" s="12">
        <v>522</v>
      </c>
      <c r="B523" s="2">
        <v>40566</v>
      </c>
      <c r="C523" s="12">
        <v>1</v>
      </c>
      <c r="D523" s="12">
        <v>20</v>
      </c>
      <c r="E523" t="b">
        <v>0</v>
      </c>
      <c r="F523" s="12">
        <v>0</v>
      </c>
      <c r="G523" s="12">
        <v>1</v>
      </c>
      <c r="H523" s="9">
        <v>0.1</v>
      </c>
      <c r="I523" t="s">
        <v>12</v>
      </c>
      <c r="J523" t="s">
        <v>22</v>
      </c>
      <c r="K523" t="s">
        <v>25</v>
      </c>
      <c r="L523" t="s">
        <v>15</v>
      </c>
    </row>
    <row r="524" spans="1:12" x14ac:dyDescent="0.3">
      <c r="A524" s="12">
        <v>523</v>
      </c>
      <c r="B524" s="2">
        <v>40566</v>
      </c>
      <c r="C524" s="12">
        <v>1</v>
      </c>
      <c r="D524" s="12">
        <v>21</v>
      </c>
      <c r="E524" t="b">
        <v>0</v>
      </c>
      <c r="F524" s="12">
        <v>0</v>
      </c>
      <c r="G524" s="12">
        <v>1</v>
      </c>
      <c r="H524" s="9">
        <v>0.1</v>
      </c>
      <c r="I524" t="s">
        <v>12</v>
      </c>
      <c r="J524" t="s">
        <v>13</v>
      </c>
      <c r="K524" t="s">
        <v>25</v>
      </c>
      <c r="L524" t="s">
        <v>15</v>
      </c>
    </row>
    <row r="525" spans="1:12" x14ac:dyDescent="0.3">
      <c r="A525" s="12">
        <v>524</v>
      </c>
      <c r="B525" s="2">
        <v>40566</v>
      </c>
      <c r="C525" s="12">
        <v>1</v>
      </c>
      <c r="D525" s="12">
        <v>22</v>
      </c>
      <c r="E525" t="b">
        <v>0</v>
      </c>
      <c r="F525" s="12">
        <v>0</v>
      </c>
      <c r="G525" s="12">
        <v>1</v>
      </c>
      <c r="H525" s="9">
        <v>0.08</v>
      </c>
      <c r="I525" t="s">
        <v>12</v>
      </c>
      <c r="J525" t="s">
        <v>13</v>
      </c>
      <c r="K525" t="s">
        <v>25</v>
      </c>
      <c r="L525" t="s">
        <v>15</v>
      </c>
    </row>
    <row r="526" spans="1:12" x14ac:dyDescent="0.3">
      <c r="A526" s="12">
        <v>525</v>
      </c>
      <c r="B526" s="2">
        <v>40566</v>
      </c>
      <c r="C526" s="12">
        <v>1</v>
      </c>
      <c r="D526" s="12">
        <v>23</v>
      </c>
      <c r="E526" t="b">
        <v>0</v>
      </c>
      <c r="F526" s="12">
        <v>0</v>
      </c>
      <c r="G526" s="12">
        <v>1</v>
      </c>
      <c r="H526" s="9">
        <v>0.06</v>
      </c>
      <c r="I526" t="s">
        <v>12</v>
      </c>
      <c r="J526" t="s">
        <v>13</v>
      </c>
      <c r="K526" t="s">
        <v>25</v>
      </c>
      <c r="L526" t="s">
        <v>15</v>
      </c>
    </row>
    <row r="527" spans="1:12" x14ac:dyDescent="0.3">
      <c r="A527" s="12">
        <v>526</v>
      </c>
      <c r="B527" s="2">
        <v>40567</v>
      </c>
      <c r="C527" s="12">
        <v>1</v>
      </c>
      <c r="D527" s="12">
        <v>0</v>
      </c>
      <c r="E527" t="b">
        <v>0</v>
      </c>
      <c r="F527" s="12">
        <v>1</v>
      </c>
      <c r="G527" s="12">
        <v>1</v>
      </c>
      <c r="H527" s="9">
        <v>0.06</v>
      </c>
      <c r="I527" t="s">
        <v>12</v>
      </c>
      <c r="J527" t="s">
        <v>13</v>
      </c>
      <c r="K527" t="s">
        <v>25</v>
      </c>
      <c r="L527" t="s">
        <v>24</v>
      </c>
    </row>
    <row r="528" spans="1:12" x14ac:dyDescent="0.3">
      <c r="A528" s="12">
        <v>527</v>
      </c>
      <c r="B528" s="2">
        <v>40567</v>
      </c>
      <c r="C528" s="12">
        <v>1</v>
      </c>
      <c r="D528" s="12">
        <v>1</v>
      </c>
      <c r="E528" t="b">
        <v>0</v>
      </c>
      <c r="F528" s="12">
        <v>1</v>
      </c>
      <c r="G528" s="12">
        <v>1</v>
      </c>
      <c r="H528" s="9">
        <v>0.04</v>
      </c>
      <c r="I528" t="s">
        <v>12</v>
      </c>
      <c r="J528" t="s">
        <v>13</v>
      </c>
      <c r="K528" t="s">
        <v>25</v>
      </c>
      <c r="L528" t="s">
        <v>24</v>
      </c>
    </row>
    <row r="529" spans="1:12" x14ac:dyDescent="0.3">
      <c r="A529" s="12">
        <v>528</v>
      </c>
      <c r="B529" s="2">
        <v>40567</v>
      </c>
      <c r="C529" s="12">
        <v>1</v>
      </c>
      <c r="D529" s="12">
        <v>3</v>
      </c>
      <c r="E529" t="b">
        <v>0</v>
      </c>
      <c r="F529" s="12">
        <v>1</v>
      </c>
      <c r="G529" s="12">
        <v>1</v>
      </c>
      <c r="H529" s="9">
        <v>0.04</v>
      </c>
      <c r="I529" t="s">
        <v>12</v>
      </c>
      <c r="J529" t="s">
        <v>13</v>
      </c>
      <c r="K529" t="s">
        <v>25</v>
      </c>
      <c r="L529" t="s">
        <v>24</v>
      </c>
    </row>
    <row r="530" spans="1:12" x14ac:dyDescent="0.3">
      <c r="A530" s="12">
        <v>529</v>
      </c>
      <c r="B530" s="2">
        <v>40567</v>
      </c>
      <c r="C530" s="12">
        <v>1</v>
      </c>
      <c r="D530" s="12">
        <v>4</v>
      </c>
      <c r="E530" t="b">
        <v>0</v>
      </c>
      <c r="F530" s="12">
        <v>1</v>
      </c>
      <c r="G530" s="12">
        <v>1</v>
      </c>
      <c r="H530" s="9">
        <v>0.02</v>
      </c>
      <c r="I530" t="s">
        <v>12</v>
      </c>
      <c r="J530" t="s">
        <v>13</v>
      </c>
      <c r="K530" t="s">
        <v>25</v>
      </c>
      <c r="L530" t="s">
        <v>24</v>
      </c>
    </row>
    <row r="531" spans="1:12" x14ac:dyDescent="0.3">
      <c r="A531" s="12">
        <v>530</v>
      </c>
      <c r="B531" s="2">
        <v>40567</v>
      </c>
      <c r="C531" s="12">
        <v>1</v>
      </c>
      <c r="D531" s="12">
        <v>5</v>
      </c>
      <c r="E531" t="b">
        <v>0</v>
      </c>
      <c r="F531" s="12">
        <v>1</v>
      </c>
      <c r="G531" s="12">
        <v>1</v>
      </c>
      <c r="H531" s="9">
        <v>0.02</v>
      </c>
      <c r="I531" t="s">
        <v>12</v>
      </c>
      <c r="J531" t="s">
        <v>13</v>
      </c>
      <c r="K531" t="s">
        <v>25</v>
      </c>
      <c r="L531" t="s">
        <v>24</v>
      </c>
    </row>
    <row r="532" spans="1:12" x14ac:dyDescent="0.3">
      <c r="A532" s="12">
        <v>531</v>
      </c>
      <c r="B532" s="2">
        <v>40567</v>
      </c>
      <c r="C532" s="12">
        <v>1</v>
      </c>
      <c r="D532" s="12">
        <v>6</v>
      </c>
      <c r="E532" t="b">
        <v>0</v>
      </c>
      <c r="F532" s="12">
        <v>1</v>
      </c>
      <c r="G532" s="12">
        <v>1</v>
      </c>
      <c r="H532" s="9">
        <v>0.02</v>
      </c>
      <c r="I532" t="s">
        <v>12</v>
      </c>
      <c r="J532" t="s">
        <v>17</v>
      </c>
      <c r="K532" t="s">
        <v>25</v>
      </c>
      <c r="L532" t="s">
        <v>24</v>
      </c>
    </row>
    <row r="533" spans="1:12" x14ac:dyDescent="0.3">
      <c r="A533" s="12">
        <v>532</v>
      </c>
      <c r="B533" s="2">
        <v>40567</v>
      </c>
      <c r="C533" s="12">
        <v>1</v>
      </c>
      <c r="D533" s="12">
        <v>7</v>
      </c>
      <c r="E533" t="b">
        <v>0</v>
      </c>
      <c r="F533" s="12">
        <v>1</v>
      </c>
      <c r="G533" s="12">
        <v>1</v>
      </c>
      <c r="H533" s="9">
        <v>0.02</v>
      </c>
      <c r="I533" t="s">
        <v>12</v>
      </c>
      <c r="J533" t="s">
        <v>17</v>
      </c>
      <c r="K533" t="s">
        <v>25</v>
      </c>
      <c r="L533" t="s">
        <v>24</v>
      </c>
    </row>
    <row r="534" spans="1:12" x14ac:dyDescent="0.3">
      <c r="A534" s="12">
        <v>533</v>
      </c>
      <c r="B534" s="2">
        <v>40567</v>
      </c>
      <c r="C534" s="12">
        <v>1</v>
      </c>
      <c r="D534" s="12">
        <v>8</v>
      </c>
      <c r="E534" t="b">
        <v>0</v>
      </c>
      <c r="F534" s="12">
        <v>1</v>
      </c>
      <c r="G534" s="12">
        <v>1</v>
      </c>
      <c r="H534" s="9">
        <v>0.04</v>
      </c>
      <c r="I534" t="s">
        <v>12</v>
      </c>
      <c r="J534" t="s">
        <v>17</v>
      </c>
      <c r="K534" t="s">
        <v>25</v>
      </c>
      <c r="L534" t="s">
        <v>24</v>
      </c>
    </row>
    <row r="535" spans="1:12" x14ac:dyDescent="0.3">
      <c r="A535" s="12">
        <v>534</v>
      </c>
      <c r="B535" s="2">
        <v>40567</v>
      </c>
      <c r="C535" s="12">
        <v>1</v>
      </c>
      <c r="D535" s="12">
        <v>9</v>
      </c>
      <c r="E535" t="b">
        <v>0</v>
      </c>
      <c r="F535" s="12">
        <v>1</v>
      </c>
      <c r="G535" s="12">
        <v>1</v>
      </c>
      <c r="H535" s="9">
        <v>0.06</v>
      </c>
      <c r="I535" t="s">
        <v>12</v>
      </c>
      <c r="J535" t="s">
        <v>17</v>
      </c>
      <c r="K535" t="s">
        <v>25</v>
      </c>
      <c r="L535" t="s">
        <v>24</v>
      </c>
    </row>
    <row r="536" spans="1:12" x14ac:dyDescent="0.3">
      <c r="A536" s="12">
        <v>535</v>
      </c>
      <c r="B536" s="2">
        <v>40567</v>
      </c>
      <c r="C536" s="12">
        <v>1</v>
      </c>
      <c r="D536" s="12">
        <v>10</v>
      </c>
      <c r="E536" t="b">
        <v>0</v>
      </c>
      <c r="F536" s="12">
        <v>1</v>
      </c>
      <c r="G536" s="12">
        <v>1</v>
      </c>
      <c r="H536" s="9">
        <v>0.1</v>
      </c>
      <c r="I536" t="s">
        <v>12</v>
      </c>
      <c r="J536" t="s">
        <v>17</v>
      </c>
      <c r="K536" t="s">
        <v>25</v>
      </c>
      <c r="L536" t="s">
        <v>24</v>
      </c>
    </row>
    <row r="537" spans="1:12" x14ac:dyDescent="0.3">
      <c r="A537" s="12">
        <v>536</v>
      </c>
      <c r="B537" s="2">
        <v>40567</v>
      </c>
      <c r="C537" s="12">
        <v>1</v>
      </c>
      <c r="D537" s="12">
        <v>11</v>
      </c>
      <c r="E537" t="b">
        <v>0</v>
      </c>
      <c r="F537" s="12">
        <v>1</v>
      </c>
      <c r="G537" s="12">
        <v>1</v>
      </c>
      <c r="H537" s="9">
        <v>0.1</v>
      </c>
      <c r="I537" t="s">
        <v>12</v>
      </c>
      <c r="J537" t="s">
        <v>17</v>
      </c>
      <c r="K537" t="s">
        <v>25</v>
      </c>
      <c r="L537" t="s">
        <v>24</v>
      </c>
    </row>
    <row r="538" spans="1:12" x14ac:dyDescent="0.3">
      <c r="A538" s="12">
        <v>537</v>
      </c>
      <c r="B538" s="2">
        <v>40567</v>
      </c>
      <c r="C538" s="12">
        <v>1</v>
      </c>
      <c r="D538" s="12">
        <v>12</v>
      </c>
      <c r="E538" t="b">
        <v>0</v>
      </c>
      <c r="F538" s="12">
        <v>1</v>
      </c>
      <c r="G538" s="12">
        <v>2</v>
      </c>
      <c r="H538" s="9">
        <v>0.12</v>
      </c>
      <c r="I538" t="s">
        <v>16</v>
      </c>
      <c r="J538" t="s">
        <v>20</v>
      </c>
      <c r="K538" t="s">
        <v>25</v>
      </c>
      <c r="L538" t="s">
        <v>24</v>
      </c>
    </row>
    <row r="539" spans="1:12" x14ac:dyDescent="0.3">
      <c r="A539" s="12">
        <v>538</v>
      </c>
      <c r="B539" s="2">
        <v>40567</v>
      </c>
      <c r="C539" s="12">
        <v>1</v>
      </c>
      <c r="D539" s="12">
        <v>13</v>
      </c>
      <c r="E539" t="b">
        <v>0</v>
      </c>
      <c r="F539" s="12">
        <v>1</v>
      </c>
      <c r="G539" s="12">
        <v>2</v>
      </c>
      <c r="H539" s="9">
        <v>0.14000000000000001</v>
      </c>
      <c r="I539" t="s">
        <v>16</v>
      </c>
      <c r="J539" t="s">
        <v>20</v>
      </c>
      <c r="K539" t="s">
        <v>25</v>
      </c>
      <c r="L539" t="s">
        <v>24</v>
      </c>
    </row>
    <row r="540" spans="1:12" x14ac:dyDescent="0.3">
      <c r="A540" s="12">
        <v>539</v>
      </c>
      <c r="B540" s="2">
        <v>40567</v>
      </c>
      <c r="C540" s="12">
        <v>1</v>
      </c>
      <c r="D540" s="12">
        <v>14</v>
      </c>
      <c r="E540" t="b">
        <v>0</v>
      </c>
      <c r="F540" s="12">
        <v>1</v>
      </c>
      <c r="G540" s="12">
        <v>2</v>
      </c>
      <c r="H540" s="9">
        <v>0.14000000000000001</v>
      </c>
      <c r="I540" t="s">
        <v>16</v>
      </c>
      <c r="J540" t="s">
        <v>20</v>
      </c>
      <c r="K540" t="s">
        <v>25</v>
      </c>
      <c r="L540" t="s">
        <v>24</v>
      </c>
    </row>
    <row r="541" spans="1:12" x14ac:dyDescent="0.3">
      <c r="A541" s="12">
        <v>540</v>
      </c>
      <c r="B541" s="2">
        <v>40567</v>
      </c>
      <c r="C541" s="12">
        <v>1</v>
      </c>
      <c r="D541" s="12">
        <v>15</v>
      </c>
      <c r="E541" t="b">
        <v>0</v>
      </c>
      <c r="F541" s="12">
        <v>1</v>
      </c>
      <c r="G541" s="12">
        <v>1</v>
      </c>
      <c r="H541" s="9">
        <v>0.16</v>
      </c>
      <c r="I541" t="s">
        <v>12</v>
      </c>
      <c r="J541" t="s">
        <v>20</v>
      </c>
      <c r="K541" t="s">
        <v>14</v>
      </c>
      <c r="L541" t="s">
        <v>24</v>
      </c>
    </row>
    <row r="542" spans="1:12" x14ac:dyDescent="0.3">
      <c r="A542" s="12">
        <v>541</v>
      </c>
      <c r="B542" s="2">
        <v>40567</v>
      </c>
      <c r="C542" s="12">
        <v>1</v>
      </c>
      <c r="D542" s="12">
        <v>16</v>
      </c>
      <c r="E542" t="b">
        <v>0</v>
      </c>
      <c r="F542" s="12">
        <v>1</v>
      </c>
      <c r="G542" s="12">
        <v>1</v>
      </c>
      <c r="H542" s="9">
        <v>0.16</v>
      </c>
      <c r="I542" t="s">
        <v>12</v>
      </c>
      <c r="J542" t="s">
        <v>20</v>
      </c>
      <c r="K542" t="s">
        <v>14</v>
      </c>
      <c r="L542" t="s">
        <v>24</v>
      </c>
    </row>
    <row r="543" spans="1:12" x14ac:dyDescent="0.3">
      <c r="A543" s="12">
        <v>542</v>
      </c>
      <c r="B543" s="2">
        <v>40567</v>
      </c>
      <c r="C543" s="12">
        <v>1</v>
      </c>
      <c r="D543" s="12">
        <v>17</v>
      </c>
      <c r="E543" t="b">
        <v>0</v>
      </c>
      <c r="F543" s="12">
        <v>1</v>
      </c>
      <c r="G543" s="12">
        <v>1</v>
      </c>
      <c r="H543" s="9">
        <v>0.14000000000000001</v>
      </c>
      <c r="I543" t="s">
        <v>12</v>
      </c>
      <c r="J543" t="s">
        <v>22</v>
      </c>
      <c r="K543" t="s">
        <v>25</v>
      </c>
      <c r="L543" t="s">
        <v>24</v>
      </c>
    </row>
    <row r="544" spans="1:12" x14ac:dyDescent="0.3">
      <c r="A544" s="12">
        <v>543</v>
      </c>
      <c r="B544" s="2">
        <v>40567</v>
      </c>
      <c r="C544" s="12">
        <v>1</v>
      </c>
      <c r="D544" s="12">
        <v>18</v>
      </c>
      <c r="E544" t="b">
        <v>0</v>
      </c>
      <c r="F544" s="12">
        <v>1</v>
      </c>
      <c r="G544" s="12">
        <v>1</v>
      </c>
      <c r="H544" s="9">
        <v>0.14000000000000001</v>
      </c>
      <c r="I544" t="s">
        <v>12</v>
      </c>
      <c r="J544" t="s">
        <v>22</v>
      </c>
      <c r="K544" t="s">
        <v>25</v>
      </c>
      <c r="L544" t="s">
        <v>24</v>
      </c>
    </row>
    <row r="545" spans="1:12" x14ac:dyDescent="0.3">
      <c r="A545" s="12">
        <v>544</v>
      </c>
      <c r="B545" s="2">
        <v>40567</v>
      </c>
      <c r="C545" s="12">
        <v>1</v>
      </c>
      <c r="D545" s="12">
        <v>19</v>
      </c>
      <c r="E545" t="b">
        <v>0</v>
      </c>
      <c r="F545" s="12">
        <v>1</v>
      </c>
      <c r="G545" s="12">
        <v>1</v>
      </c>
      <c r="H545" s="9">
        <v>0.14000000000000001</v>
      </c>
      <c r="I545" t="s">
        <v>12</v>
      </c>
      <c r="J545" t="s">
        <v>22</v>
      </c>
      <c r="K545" t="s">
        <v>25</v>
      </c>
      <c r="L545" t="s">
        <v>24</v>
      </c>
    </row>
    <row r="546" spans="1:12" x14ac:dyDescent="0.3">
      <c r="A546" s="12">
        <v>545</v>
      </c>
      <c r="B546" s="2">
        <v>40567</v>
      </c>
      <c r="C546" s="12">
        <v>1</v>
      </c>
      <c r="D546" s="12">
        <v>20</v>
      </c>
      <c r="E546" t="b">
        <v>0</v>
      </c>
      <c r="F546" s="12">
        <v>1</v>
      </c>
      <c r="G546" s="12">
        <v>1</v>
      </c>
      <c r="H546" s="9">
        <v>0.14000000000000001</v>
      </c>
      <c r="I546" t="s">
        <v>12</v>
      </c>
      <c r="J546" t="s">
        <v>22</v>
      </c>
      <c r="K546" t="s">
        <v>25</v>
      </c>
      <c r="L546" t="s">
        <v>24</v>
      </c>
    </row>
    <row r="547" spans="1:12" x14ac:dyDescent="0.3">
      <c r="A547" s="12">
        <v>546</v>
      </c>
      <c r="B547" s="2">
        <v>40567</v>
      </c>
      <c r="C547" s="12">
        <v>1</v>
      </c>
      <c r="D547" s="12">
        <v>21</v>
      </c>
      <c r="E547" t="b">
        <v>0</v>
      </c>
      <c r="F547" s="12">
        <v>1</v>
      </c>
      <c r="G547" s="12">
        <v>1</v>
      </c>
      <c r="H547" s="9">
        <v>0.14000000000000001</v>
      </c>
      <c r="I547" t="s">
        <v>12</v>
      </c>
      <c r="J547" t="s">
        <v>13</v>
      </c>
      <c r="K547" t="s">
        <v>25</v>
      </c>
      <c r="L547" t="s">
        <v>24</v>
      </c>
    </row>
    <row r="548" spans="1:12" x14ac:dyDescent="0.3">
      <c r="A548" s="12">
        <v>547</v>
      </c>
      <c r="B548" s="2">
        <v>40567</v>
      </c>
      <c r="C548" s="12">
        <v>1</v>
      </c>
      <c r="D548" s="12">
        <v>22</v>
      </c>
      <c r="E548" t="b">
        <v>0</v>
      </c>
      <c r="F548" s="12">
        <v>1</v>
      </c>
      <c r="G548" s="12">
        <v>2</v>
      </c>
      <c r="H548" s="9">
        <v>0.14000000000000001</v>
      </c>
      <c r="I548" t="s">
        <v>16</v>
      </c>
      <c r="J548" t="s">
        <v>13</v>
      </c>
      <c r="K548" t="s">
        <v>25</v>
      </c>
      <c r="L548" t="s">
        <v>24</v>
      </c>
    </row>
    <row r="549" spans="1:12" x14ac:dyDescent="0.3">
      <c r="A549" s="12">
        <v>548</v>
      </c>
      <c r="B549" s="2">
        <v>40567</v>
      </c>
      <c r="C549" s="12">
        <v>1</v>
      </c>
      <c r="D549" s="12">
        <v>23</v>
      </c>
      <c r="E549" t="b">
        <v>0</v>
      </c>
      <c r="F549" s="12">
        <v>1</v>
      </c>
      <c r="G549" s="12">
        <v>2</v>
      </c>
      <c r="H549" s="9">
        <v>0.16</v>
      </c>
      <c r="I549" t="s">
        <v>16</v>
      </c>
      <c r="J549" t="s">
        <v>13</v>
      </c>
      <c r="K549" t="s">
        <v>14</v>
      </c>
      <c r="L549" t="s">
        <v>24</v>
      </c>
    </row>
    <row r="550" spans="1:12" x14ac:dyDescent="0.3">
      <c r="A550" s="12">
        <v>549</v>
      </c>
      <c r="B550" s="2">
        <v>40568</v>
      </c>
      <c r="C550" s="12">
        <v>1</v>
      </c>
      <c r="D550" s="12">
        <v>0</v>
      </c>
      <c r="E550" t="b">
        <v>0</v>
      </c>
      <c r="F550" s="12">
        <v>2</v>
      </c>
      <c r="G550" s="12">
        <v>2</v>
      </c>
      <c r="H550" s="9">
        <v>0.16</v>
      </c>
      <c r="I550" t="s">
        <v>16</v>
      </c>
      <c r="J550" t="s">
        <v>13</v>
      </c>
      <c r="K550" t="s">
        <v>14</v>
      </c>
      <c r="L550" t="s">
        <v>24</v>
      </c>
    </row>
    <row r="551" spans="1:12" x14ac:dyDescent="0.3">
      <c r="A551" s="12">
        <v>550</v>
      </c>
      <c r="B551" s="2">
        <v>40568</v>
      </c>
      <c r="C551" s="12">
        <v>1</v>
      </c>
      <c r="D551" s="12">
        <v>1</v>
      </c>
      <c r="E551" t="b">
        <v>0</v>
      </c>
      <c r="F551" s="12">
        <v>2</v>
      </c>
      <c r="G551" s="12">
        <v>2</v>
      </c>
      <c r="H551" s="9">
        <v>0.16</v>
      </c>
      <c r="I551" t="s">
        <v>16</v>
      </c>
      <c r="J551" t="s">
        <v>13</v>
      </c>
      <c r="K551" t="s">
        <v>14</v>
      </c>
      <c r="L551" t="s">
        <v>24</v>
      </c>
    </row>
    <row r="552" spans="1:12" x14ac:dyDescent="0.3">
      <c r="A552" s="12">
        <v>551</v>
      </c>
      <c r="B552" s="2">
        <v>40568</v>
      </c>
      <c r="C552" s="12">
        <v>1</v>
      </c>
      <c r="D552" s="12">
        <v>2</v>
      </c>
      <c r="E552" t="b">
        <v>0</v>
      </c>
      <c r="F552" s="12">
        <v>2</v>
      </c>
      <c r="G552" s="12">
        <v>1</v>
      </c>
      <c r="H552" s="9">
        <v>0.16</v>
      </c>
      <c r="I552" t="s">
        <v>12</v>
      </c>
      <c r="J552" t="s">
        <v>13</v>
      </c>
      <c r="K552" t="s">
        <v>14</v>
      </c>
      <c r="L552" t="s">
        <v>24</v>
      </c>
    </row>
    <row r="553" spans="1:12" x14ac:dyDescent="0.3">
      <c r="A553" s="12">
        <v>552</v>
      </c>
      <c r="B553" s="2">
        <v>40568</v>
      </c>
      <c r="C553" s="12">
        <v>1</v>
      </c>
      <c r="D553" s="12">
        <v>4</v>
      </c>
      <c r="E553" t="b">
        <v>0</v>
      </c>
      <c r="F553" s="12">
        <v>2</v>
      </c>
      <c r="G553" s="12">
        <v>1</v>
      </c>
      <c r="H553" s="9">
        <v>0.14000000000000001</v>
      </c>
      <c r="I553" t="s">
        <v>12</v>
      </c>
      <c r="J553" t="s">
        <v>13</v>
      </c>
      <c r="K553" t="s">
        <v>25</v>
      </c>
      <c r="L553" t="s">
        <v>24</v>
      </c>
    </row>
    <row r="554" spans="1:12" x14ac:dyDescent="0.3">
      <c r="A554" s="12">
        <v>553</v>
      </c>
      <c r="B554" s="2">
        <v>40568</v>
      </c>
      <c r="C554" s="12">
        <v>1</v>
      </c>
      <c r="D554" s="12">
        <v>5</v>
      </c>
      <c r="E554" t="b">
        <v>0</v>
      </c>
      <c r="F554" s="12">
        <v>2</v>
      </c>
      <c r="G554" s="12">
        <v>1</v>
      </c>
      <c r="H554" s="9">
        <v>0.14000000000000001</v>
      </c>
      <c r="I554" t="s">
        <v>12</v>
      </c>
      <c r="J554" t="s">
        <v>13</v>
      </c>
      <c r="K554" t="s">
        <v>25</v>
      </c>
      <c r="L554" t="s">
        <v>24</v>
      </c>
    </row>
    <row r="555" spans="1:12" x14ac:dyDescent="0.3">
      <c r="A555" s="12">
        <v>554</v>
      </c>
      <c r="B555" s="2">
        <v>40568</v>
      </c>
      <c r="C555" s="12">
        <v>1</v>
      </c>
      <c r="D555" s="12">
        <v>6</v>
      </c>
      <c r="E555" t="b">
        <v>0</v>
      </c>
      <c r="F555" s="12">
        <v>2</v>
      </c>
      <c r="G555" s="12">
        <v>1</v>
      </c>
      <c r="H555" s="9">
        <v>0.16</v>
      </c>
      <c r="I555" t="s">
        <v>12</v>
      </c>
      <c r="J555" t="s">
        <v>17</v>
      </c>
      <c r="K555" t="s">
        <v>14</v>
      </c>
      <c r="L555" t="s">
        <v>24</v>
      </c>
    </row>
    <row r="556" spans="1:12" x14ac:dyDescent="0.3">
      <c r="A556" s="12">
        <v>555</v>
      </c>
      <c r="B556" s="2">
        <v>40568</v>
      </c>
      <c r="C556" s="12">
        <v>1</v>
      </c>
      <c r="D556" s="12">
        <v>7</v>
      </c>
      <c r="E556" t="b">
        <v>0</v>
      </c>
      <c r="F556" s="12">
        <v>2</v>
      </c>
      <c r="G556" s="12">
        <v>1</v>
      </c>
      <c r="H556" s="9">
        <v>0.16</v>
      </c>
      <c r="I556" t="s">
        <v>12</v>
      </c>
      <c r="J556" t="s">
        <v>17</v>
      </c>
      <c r="K556" t="s">
        <v>14</v>
      </c>
      <c r="L556" t="s">
        <v>24</v>
      </c>
    </row>
    <row r="557" spans="1:12" x14ac:dyDescent="0.3">
      <c r="A557" s="12">
        <v>556</v>
      </c>
      <c r="B557" s="2">
        <v>40568</v>
      </c>
      <c r="C557" s="12">
        <v>1</v>
      </c>
      <c r="D557" s="12">
        <v>8</v>
      </c>
      <c r="E557" t="b">
        <v>0</v>
      </c>
      <c r="F557" s="12">
        <v>2</v>
      </c>
      <c r="G557" s="12">
        <v>2</v>
      </c>
      <c r="H557" s="9">
        <v>0.16</v>
      </c>
      <c r="I557" t="s">
        <v>16</v>
      </c>
      <c r="J557" t="s">
        <v>17</v>
      </c>
      <c r="K557" t="s">
        <v>14</v>
      </c>
      <c r="L557" t="s">
        <v>24</v>
      </c>
    </row>
    <row r="558" spans="1:12" x14ac:dyDescent="0.3">
      <c r="A558" s="12">
        <v>557</v>
      </c>
      <c r="B558" s="2">
        <v>40568</v>
      </c>
      <c r="C558" s="12">
        <v>1</v>
      </c>
      <c r="D558" s="12">
        <v>9</v>
      </c>
      <c r="E558" t="b">
        <v>0</v>
      </c>
      <c r="F558" s="12">
        <v>2</v>
      </c>
      <c r="G558" s="12">
        <v>2</v>
      </c>
      <c r="H558" s="9">
        <v>0.2</v>
      </c>
      <c r="I558" t="s">
        <v>16</v>
      </c>
      <c r="J558" t="s">
        <v>17</v>
      </c>
      <c r="K558" t="s">
        <v>14</v>
      </c>
      <c r="L558" t="s">
        <v>24</v>
      </c>
    </row>
    <row r="559" spans="1:12" x14ac:dyDescent="0.3">
      <c r="A559" s="12">
        <v>558</v>
      </c>
      <c r="B559" s="2">
        <v>40568</v>
      </c>
      <c r="C559" s="12">
        <v>1</v>
      </c>
      <c r="D559" s="12">
        <v>10</v>
      </c>
      <c r="E559" t="b">
        <v>0</v>
      </c>
      <c r="F559" s="12">
        <v>2</v>
      </c>
      <c r="G559" s="12">
        <v>2</v>
      </c>
      <c r="H559" s="9">
        <v>0.22</v>
      </c>
      <c r="I559" t="s">
        <v>16</v>
      </c>
      <c r="J559" t="s">
        <v>17</v>
      </c>
      <c r="K559" t="s">
        <v>14</v>
      </c>
      <c r="L559" t="s">
        <v>24</v>
      </c>
    </row>
    <row r="560" spans="1:12" x14ac:dyDescent="0.3">
      <c r="A560" s="12">
        <v>559</v>
      </c>
      <c r="B560" s="2">
        <v>40568</v>
      </c>
      <c r="C560" s="12">
        <v>1</v>
      </c>
      <c r="D560" s="12">
        <v>11</v>
      </c>
      <c r="E560" t="b">
        <v>0</v>
      </c>
      <c r="F560" s="12">
        <v>2</v>
      </c>
      <c r="G560" s="12">
        <v>2</v>
      </c>
      <c r="H560" s="9">
        <v>0.24</v>
      </c>
      <c r="I560" t="s">
        <v>16</v>
      </c>
      <c r="J560" t="s">
        <v>17</v>
      </c>
      <c r="K560" t="s">
        <v>14</v>
      </c>
      <c r="L560" t="s">
        <v>24</v>
      </c>
    </row>
    <row r="561" spans="1:12" x14ac:dyDescent="0.3">
      <c r="A561" s="12">
        <v>560</v>
      </c>
      <c r="B561" s="2">
        <v>40568</v>
      </c>
      <c r="C561" s="12">
        <v>1</v>
      </c>
      <c r="D561" s="12">
        <v>12</v>
      </c>
      <c r="E561" t="b">
        <v>0</v>
      </c>
      <c r="F561" s="12">
        <v>2</v>
      </c>
      <c r="G561" s="12">
        <v>2</v>
      </c>
      <c r="H561" s="9">
        <v>0.26</v>
      </c>
      <c r="I561" t="s">
        <v>16</v>
      </c>
      <c r="J561" t="s">
        <v>20</v>
      </c>
      <c r="K561" t="s">
        <v>18</v>
      </c>
      <c r="L561" t="s">
        <v>24</v>
      </c>
    </row>
    <row r="562" spans="1:12" x14ac:dyDescent="0.3">
      <c r="A562" s="12">
        <v>561</v>
      </c>
      <c r="B562" s="2">
        <v>40568</v>
      </c>
      <c r="C562" s="12">
        <v>1</v>
      </c>
      <c r="D562" s="12">
        <v>13</v>
      </c>
      <c r="E562" t="b">
        <v>0</v>
      </c>
      <c r="F562" s="12">
        <v>2</v>
      </c>
      <c r="G562" s="12">
        <v>2</v>
      </c>
      <c r="H562" s="9">
        <v>0.26</v>
      </c>
      <c r="I562" t="s">
        <v>16</v>
      </c>
      <c r="J562" t="s">
        <v>20</v>
      </c>
      <c r="K562" t="s">
        <v>18</v>
      </c>
      <c r="L562" t="s">
        <v>24</v>
      </c>
    </row>
    <row r="563" spans="1:12" x14ac:dyDescent="0.3">
      <c r="A563" s="12">
        <v>562</v>
      </c>
      <c r="B563" s="2">
        <v>40568</v>
      </c>
      <c r="C563" s="12">
        <v>1</v>
      </c>
      <c r="D563" s="12">
        <v>14</v>
      </c>
      <c r="E563" t="b">
        <v>0</v>
      </c>
      <c r="F563" s="12">
        <v>2</v>
      </c>
      <c r="G563" s="12">
        <v>2</v>
      </c>
      <c r="H563" s="9">
        <v>0.3</v>
      </c>
      <c r="I563" t="s">
        <v>16</v>
      </c>
      <c r="J563" t="s">
        <v>20</v>
      </c>
      <c r="K563" t="s">
        <v>18</v>
      </c>
      <c r="L563" t="s">
        <v>24</v>
      </c>
    </row>
    <row r="564" spans="1:12" x14ac:dyDescent="0.3">
      <c r="A564" s="12">
        <v>563</v>
      </c>
      <c r="B564" s="2">
        <v>40568</v>
      </c>
      <c r="C564" s="12">
        <v>1</v>
      </c>
      <c r="D564" s="12">
        <v>15</v>
      </c>
      <c r="E564" t="b">
        <v>0</v>
      </c>
      <c r="F564" s="12">
        <v>2</v>
      </c>
      <c r="G564" s="12">
        <v>2</v>
      </c>
      <c r="H564" s="9">
        <v>0.32</v>
      </c>
      <c r="I564" t="s">
        <v>16</v>
      </c>
      <c r="J564" t="s">
        <v>20</v>
      </c>
      <c r="K564" t="s">
        <v>18</v>
      </c>
      <c r="L564" t="s">
        <v>24</v>
      </c>
    </row>
    <row r="565" spans="1:12" x14ac:dyDescent="0.3">
      <c r="A565" s="12">
        <v>564</v>
      </c>
      <c r="B565" s="2">
        <v>40568</v>
      </c>
      <c r="C565" s="12">
        <v>1</v>
      </c>
      <c r="D565" s="12">
        <v>16</v>
      </c>
      <c r="E565" t="b">
        <v>0</v>
      </c>
      <c r="F565" s="12">
        <v>2</v>
      </c>
      <c r="G565" s="12">
        <v>2</v>
      </c>
      <c r="H565" s="9">
        <v>0.32</v>
      </c>
      <c r="I565" t="s">
        <v>16</v>
      </c>
      <c r="J565" t="s">
        <v>20</v>
      </c>
      <c r="K565" t="s">
        <v>18</v>
      </c>
      <c r="L565" t="s">
        <v>24</v>
      </c>
    </row>
    <row r="566" spans="1:12" x14ac:dyDescent="0.3">
      <c r="A566" s="12">
        <v>565</v>
      </c>
      <c r="B566" s="2">
        <v>40568</v>
      </c>
      <c r="C566" s="12">
        <v>1</v>
      </c>
      <c r="D566" s="12">
        <v>17</v>
      </c>
      <c r="E566" t="b">
        <v>0</v>
      </c>
      <c r="F566" s="12">
        <v>2</v>
      </c>
      <c r="G566" s="12">
        <v>1</v>
      </c>
      <c r="H566" s="9">
        <v>0.3</v>
      </c>
      <c r="I566" t="s">
        <v>12</v>
      </c>
      <c r="J566" t="s">
        <v>22</v>
      </c>
      <c r="K566" t="s">
        <v>18</v>
      </c>
      <c r="L566" t="s">
        <v>24</v>
      </c>
    </row>
    <row r="567" spans="1:12" x14ac:dyDescent="0.3">
      <c r="A567" s="12">
        <v>566</v>
      </c>
      <c r="B567" s="2">
        <v>40568</v>
      </c>
      <c r="C567" s="12">
        <v>1</v>
      </c>
      <c r="D567" s="12">
        <v>18</v>
      </c>
      <c r="E567" t="b">
        <v>0</v>
      </c>
      <c r="F567" s="12">
        <v>2</v>
      </c>
      <c r="G567" s="12">
        <v>2</v>
      </c>
      <c r="H567" s="9">
        <v>0.3</v>
      </c>
      <c r="I567" t="s">
        <v>16</v>
      </c>
      <c r="J567" t="s">
        <v>22</v>
      </c>
      <c r="K567" t="s">
        <v>18</v>
      </c>
      <c r="L567" t="s">
        <v>24</v>
      </c>
    </row>
    <row r="568" spans="1:12" x14ac:dyDescent="0.3">
      <c r="A568" s="12">
        <v>567</v>
      </c>
      <c r="B568" s="2">
        <v>40568</v>
      </c>
      <c r="C568" s="12">
        <v>1</v>
      </c>
      <c r="D568" s="12">
        <v>19</v>
      </c>
      <c r="E568" t="b">
        <v>0</v>
      </c>
      <c r="F568" s="12">
        <v>2</v>
      </c>
      <c r="G568" s="12">
        <v>2</v>
      </c>
      <c r="H568" s="9">
        <v>0.26</v>
      </c>
      <c r="I568" t="s">
        <v>16</v>
      </c>
      <c r="J568" t="s">
        <v>22</v>
      </c>
      <c r="K568" t="s">
        <v>18</v>
      </c>
      <c r="L568" t="s">
        <v>24</v>
      </c>
    </row>
    <row r="569" spans="1:12" x14ac:dyDescent="0.3">
      <c r="A569" s="12">
        <v>568</v>
      </c>
      <c r="B569" s="2">
        <v>40568</v>
      </c>
      <c r="C569" s="12">
        <v>1</v>
      </c>
      <c r="D569" s="12">
        <v>20</v>
      </c>
      <c r="E569" t="b">
        <v>0</v>
      </c>
      <c r="F569" s="12">
        <v>2</v>
      </c>
      <c r="G569" s="12">
        <v>1</v>
      </c>
      <c r="H569" s="9">
        <v>0.24</v>
      </c>
      <c r="I569" t="s">
        <v>12</v>
      </c>
      <c r="J569" t="s">
        <v>22</v>
      </c>
      <c r="K569" t="s">
        <v>14</v>
      </c>
      <c r="L569" t="s">
        <v>24</v>
      </c>
    </row>
    <row r="570" spans="1:12" x14ac:dyDescent="0.3">
      <c r="A570" s="12">
        <v>569</v>
      </c>
      <c r="B570" s="2">
        <v>40568</v>
      </c>
      <c r="C570" s="12">
        <v>1</v>
      </c>
      <c r="D570" s="12">
        <v>21</v>
      </c>
      <c r="E570" t="b">
        <v>0</v>
      </c>
      <c r="F570" s="12">
        <v>2</v>
      </c>
      <c r="G570" s="12">
        <v>1</v>
      </c>
      <c r="H570" s="9">
        <v>0.24</v>
      </c>
      <c r="I570" t="s">
        <v>12</v>
      </c>
      <c r="J570" t="s">
        <v>13</v>
      </c>
      <c r="K570" t="s">
        <v>14</v>
      </c>
      <c r="L570" t="s">
        <v>24</v>
      </c>
    </row>
    <row r="571" spans="1:12" x14ac:dyDescent="0.3">
      <c r="A571" s="12">
        <v>570</v>
      </c>
      <c r="B571" s="2">
        <v>40568</v>
      </c>
      <c r="C571" s="12">
        <v>1</v>
      </c>
      <c r="D571" s="12">
        <v>22</v>
      </c>
      <c r="E571" t="b">
        <v>0</v>
      </c>
      <c r="F571" s="12">
        <v>2</v>
      </c>
      <c r="G571" s="12">
        <v>1</v>
      </c>
      <c r="H571" s="9">
        <v>0.22</v>
      </c>
      <c r="I571" t="s">
        <v>12</v>
      </c>
      <c r="J571" t="s">
        <v>13</v>
      </c>
      <c r="K571" t="s">
        <v>14</v>
      </c>
      <c r="L571" t="s">
        <v>24</v>
      </c>
    </row>
    <row r="572" spans="1:12" x14ac:dyDescent="0.3">
      <c r="A572" s="12">
        <v>571</v>
      </c>
      <c r="B572" s="2">
        <v>40568</v>
      </c>
      <c r="C572" s="12">
        <v>1</v>
      </c>
      <c r="D572" s="12">
        <v>23</v>
      </c>
      <c r="E572" t="b">
        <v>0</v>
      </c>
      <c r="F572" s="12">
        <v>2</v>
      </c>
      <c r="G572" s="12">
        <v>2</v>
      </c>
      <c r="H572" s="9">
        <v>0.22</v>
      </c>
      <c r="I572" t="s">
        <v>16</v>
      </c>
      <c r="J572" t="s">
        <v>13</v>
      </c>
      <c r="K572" t="s">
        <v>14</v>
      </c>
      <c r="L572" t="s">
        <v>24</v>
      </c>
    </row>
    <row r="573" spans="1:12" x14ac:dyDescent="0.3">
      <c r="A573" s="12">
        <v>572</v>
      </c>
      <c r="B573" s="2">
        <v>40569</v>
      </c>
      <c r="C573" s="12">
        <v>1</v>
      </c>
      <c r="D573" s="12">
        <v>0</v>
      </c>
      <c r="E573" t="b">
        <v>0</v>
      </c>
      <c r="F573" s="12">
        <v>3</v>
      </c>
      <c r="G573" s="12">
        <v>2</v>
      </c>
      <c r="H573" s="9">
        <v>0.22</v>
      </c>
      <c r="I573" t="s">
        <v>16</v>
      </c>
      <c r="J573" t="s">
        <v>13</v>
      </c>
      <c r="K573" t="s">
        <v>14</v>
      </c>
      <c r="L573" t="s">
        <v>24</v>
      </c>
    </row>
    <row r="574" spans="1:12" x14ac:dyDescent="0.3">
      <c r="A574" s="12">
        <v>573</v>
      </c>
      <c r="B574" s="2">
        <v>40569</v>
      </c>
      <c r="C574" s="12">
        <v>1</v>
      </c>
      <c r="D574" s="12">
        <v>1</v>
      </c>
      <c r="E574" t="b">
        <v>0</v>
      </c>
      <c r="F574" s="12">
        <v>3</v>
      </c>
      <c r="G574" s="12">
        <v>2</v>
      </c>
      <c r="H574" s="9">
        <v>0.24</v>
      </c>
      <c r="I574" t="s">
        <v>16</v>
      </c>
      <c r="J574" t="s">
        <v>13</v>
      </c>
      <c r="K574" t="s">
        <v>14</v>
      </c>
      <c r="L574" t="s">
        <v>24</v>
      </c>
    </row>
    <row r="575" spans="1:12" x14ac:dyDescent="0.3">
      <c r="A575" s="12">
        <v>574</v>
      </c>
      <c r="B575" s="2">
        <v>40569</v>
      </c>
      <c r="C575" s="12">
        <v>1</v>
      </c>
      <c r="D575" s="12">
        <v>2</v>
      </c>
      <c r="E575" t="b">
        <v>0</v>
      </c>
      <c r="F575" s="12">
        <v>3</v>
      </c>
      <c r="G575" s="12">
        <v>3</v>
      </c>
      <c r="H575" s="9">
        <v>0.22</v>
      </c>
      <c r="I575" t="s">
        <v>23</v>
      </c>
      <c r="J575" t="s">
        <v>13</v>
      </c>
      <c r="K575" t="s">
        <v>14</v>
      </c>
      <c r="L575" t="s">
        <v>24</v>
      </c>
    </row>
    <row r="576" spans="1:12" x14ac:dyDescent="0.3">
      <c r="A576" s="12">
        <v>575</v>
      </c>
      <c r="B576" s="2">
        <v>40569</v>
      </c>
      <c r="C576" s="12">
        <v>1</v>
      </c>
      <c r="D576" s="12">
        <v>5</v>
      </c>
      <c r="E576" t="b">
        <v>0</v>
      </c>
      <c r="F576" s="12">
        <v>3</v>
      </c>
      <c r="G576" s="12">
        <v>3</v>
      </c>
      <c r="H576" s="9">
        <v>0.2</v>
      </c>
      <c r="I576" t="s">
        <v>23</v>
      </c>
      <c r="J576" t="s">
        <v>13</v>
      </c>
      <c r="K576" t="s">
        <v>14</v>
      </c>
      <c r="L576" t="s">
        <v>24</v>
      </c>
    </row>
    <row r="577" spans="1:12" x14ac:dyDescent="0.3">
      <c r="A577" s="12">
        <v>576</v>
      </c>
      <c r="B577" s="2">
        <v>40569</v>
      </c>
      <c r="C577" s="12">
        <v>1</v>
      </c>
      <c r="D577" s="12">
        <v>6</v>
      </c>
      <c r="E577" t="b">
        <v>0</v>
      </c>
      <c r="F577" s="12">
        <v>3</v>
      </c>
      <c r="G577" s="12">
        <v>3</v>
      </c>
      <c r="H577" s="9">
        <v>0.2</v>
      </c>
      <c r="I577" t="s">
        <v>23</v>
      </c>
      <c r="J577" t="s">
        <v>17</v>
      </c>
      <c r="K577" t="s">
        <v>14</v>
      </c>
      <c r="L577" t="s">
        <v>24</v>
      </c>
    </row>
    <row r="578" spans="1:12" x14ac:dyDescent="0.3">
      <c r="A578" s="12">
        <v>577</v>
      </c>
      <c r="B578" s="2">
        <v>40569</v>
      </c>
      <c r="C578" s="12">
        <v>1</v>
      </c>
      <c r="D578" s="12">
        <v>7</v>
      </c>
      <c r="E578" t="b">
        <v>0</v>
      </c>
      <c r="F578" s="12">
        <v>3</v>
      </c>
      <c r="G578" s="12">
        <v>3</v>
      </c>
      <c r="H578" s="9">
        <v>0.22</v>
      </c>
      <c r="I578" t="s">
        <v>23</v>
      </c>
      <c r="J578" t="s">
        <v>17</v>
      </c>
      <c r="K578" t="s">
        <v>14</v>
      </c>
      <c r="L578" t="s">
        <v>24</v>
      </c>
    </row>
    <row r="579" spans="1:12" x14ac:dyDescent="0.3">
      <c r="A579" s="12">
        <v>578</v>
      </c>
      <c r="B579" s="2">
        <v>40569</v>
      </c>
      <c r="C579" s="12">
        <v>1</v>
      </c>
      <c r="D579" s="12">
        <v>8</v>
      </c>
      <c r="E579" t="b">
        <v>0</v>
      </c>
      <c r="F579" s="12">
        <v>3</v>
      </c>
      <c r="G579" s="12">
        <v>3</v>
      </c>
      <c r="H579" s="9">
        <v>0.22</v>
      </c>
      <c r="I579" t="s">
        <v>23</v>
      </c>
      <c r="J579" t="s">
        <v>17</v>
      </c>
      <c r="K579" t="s">
        <v>14</v>
      </c>
      <c r="L579" t="s">
        <v>24</v>
      </c>
    </row>
    <row r="580" spans="1:12" x14ac:dyDescent="0.3">
      <c r="A580" s="12">
        <v>579</v>
      </c>
      <c r="B580" s="2">
        <v>40569</v>
      </c>
      <c r="C580" s="12">
        <v>1</v>
      </c>
      <c r="D580" s="12">
        <v>9</v>
      </c>
      <c r="E580" t="b">
        <v>0</v>
      </c>
      <c r="F580" s="12">
        <v>3</v>
      </c>
      <c r="G580" s="12">
        <v>3</v>
      </c>
      <c r="H580" s="9">
        <v>0.22</v>
      </c>
      <c r="I580" t="s">
        <v>23</v>
      </c>
      <c r="J580" t="s">
        <v>17</v>
      </c>
      <c r="K580" t="s">
        <v>14</v>
      </c>
      <c r="L580" t="s">
        <v>24</v>
      </c>
    </row>
    <row r="581" spans="1:12" x14ac:dyDescent="0.3">
      <c r="A581" s="12">
        <v>580</v>
      </c>
      <c r="B581" s="2">
        <v>40569</v>
      </c>
      <c r="C581" s="12">
        <v>1</v>
      </c>
      <c r="D581" s="12">
        <v>10</v>
      </c>
      <c r="E581" t="b">
        <v>0</v>
      </c>
      <c r="F581" s="12">
        <v>3</v>
      </c>
      <c r="G581" s="12">
        <v>3</v>
      </c>
      <c r="H581" s="9">
        <v>0.22</v>
      </c>
      <c r="I581" t="s">
        <v>23</v>
      </c>
      <c r="J581" t="s">
        <v>17</v>
      </c>
      <c r="K581" t="s">
        <v>14</v>
      </c>
      <c r="L581" t="s">
        <v>24</v>
      </c>
    </row>
    <row r="582" spans="1:12" x14ac:dyDescent="0.3">
      <c r="A582" s="12">
        <v>581</v>
      </c>
      <c r="B582" s="2">
        <v>40569</v>
      </c>
      <c r="C582" s="12">
        <v>1</v>
      </c>
      <c r="D582" s="12">
        <v>11</v>
      </c>
      <c r="E582" t="b">
        <v>0</v>
      </c>
      <c r="F582" s="12">
        <v>3</v>
      </c>
      <c r="G582" s="12">
        <v>3</v>
      </c>
      <c r="H582" s="9">
        <v>0.22</v>
      </c>
      <c r="I582" t="s">
        <v>23</v>
      </c>
      <c r="J582" t="s">
        <v>17</v>
      </c>
      <c r="K582" t="s">
        <v>14</v>
      </c>
      <c r="L582" t="s">
        <v>24</v>
      </c>
    </row>
    <row r="583" spans="1:12" x14ac:dyDescent="0.3">
      <c r="A583" s="12">
        <v>582</v>
      </c>
      <c r="B583" s="2">
        <v>40569</v>
      </c>
      <c r="C583" s="12">
        <v>1</v>
      </c>
      <c r="D583" s="12">
        <v>12</v>
      </c>
      <c r="E583" t="b">
        <v>0</v>
      </c>
      <c r="F583" s="12">
        <v>3</v>
      </c>
      <c r="G583" s="12">
        <v>3</v>
      </c>
      <c r="H583" s="9">
        <v>0.22</v>
      </c>
      <c r="I583" t="s">
        <v>23</v>
      </c>
      <c r="J583" t="s">
        <v>20</v>
      </c>
      <c r="K583" t="s">
        <v>14</v>
      </c>
      <c r="L583" t="s">
        <v>24</v>
      </c>
    </row>
    <row r="584" spans="1:12" x14ac:dyDescent="0.3">
      <c r="A584" s="12">
        <v>583</v>
      </c>
      <c r="B584" s="2">
        <v>40569</v>
      </c>
      <c r="C584" s="12">
        <v>1</v>
      </c>
      <c r="D584" s="12">
        <v>13</v>
      </c>
      <c r="E584" t="b">
        <v>0</v>
      </c>
      <c r="F584" s="12">
        <v>3</v>
      </c>
      <c r="G584" s="12">
        <v>3</v>
      </c>
      <c r="H584" s="9">
        <v>0.22</v>
      </c>
      <c r="I584" t="s">
        <v>23</v>
      </c>
      <c r="J584" t="s">
        <v>20</v>
      </c>
      <c r="K584" t="s">
        <v>14</v>
      </c>
      <c r="L584" t="s">
        <v>24</v>
      </c>
    </row>
    <row r="585" spans="1:12" x14ac:dyDescent="0.3">
      <c r="A585" s="12">
        <v>584</v>
      </c>
      <c r="B585" s="2">
        <v>40569</v>
      </c>
      <c r="C585" s="12">
        <v>1</v>
      </c>
      <c r="D585" s="12">
        <v>14</v>
      </c>
      <c r="E585" t="b">
        <v>0</v>
      </c>
      <c r="F585" s="12">
        <v>3</v>
      </c>
      <c r="G585" s="12">
        <v>3</v>
      </c>
      <c r="H585" s="9">
        <v>0.22</v>
      </c>
      <c r="I585" t="s">
        <v>23</v>
      </c>
      <c r="J585" t="s">
        <v>20</v>
      </c>
      <c r="K585" t="s">
        <v>14</v>
      </c>
      <c r="L585" t="s">
        <v>24</v>
      </c>
    </row>
    <row r="586" spans="1:12" x14ac:dyDescent="0.3">
      <c r="A586" s="12">
        <v>585</v>
      </c>
      <c r="B586" s="2">
        <v>40569</v>
      </c>
      <c r="C586" s="12">
        <v>1</v>
      </c>
      <c r="D586" s="12">
        <v>15</v>
      </c>
      <c r="E586" t="b">
        <v>0</v>
      </c>
      <c r="F586" s="12">
        <v>3</v>
      </c>
      <c r="G586" s="12">
        <v>3</v>
      </c>
      <c r="H586" s="9">
        <v>0.22</v>
      </c>
      <c r="I586" t="s">
        <v>23</v>
      </c>
      <c r="J586" t="s">
        <v>20</v>
      </c>
      <c r="K586" t="s">
        <v>14</v>
      </c>
      <c r="L586" t="s">
        <v>24</v>
      </c>
    </row>
    <row r="587" spans="1:12" x14ac:dyDescent="0.3">
      <c r="A587" s="12">
        <v>586</v>
      </c>
      <c r="B587" s="2">
        <v>40569</v>
      </c>
      <c r="C587" s="12">
        <v>1</v>
      </c>
      <c r="D587" s="12">
        <v>16</v>
      </c>
      <c r="E587" t="b">
        <v>0</v>
      </c>
      <c r="F587" s="12">
        <v>3</v>
      </c>
      <c r="G587" s="12">
        <v>4</v>
      </c>
      <c r="H587" s="9">
        <v>0.22</v>
      </c>
      <c r="I587" t="s">
        <v>26</v>
      </c>
      <c r="J587" t="s">
        <v>20</v>
      </c>
      <c r="K587" t="s">
        <v>14</v>
      </c>
      <c r="L587" t="s">
        <v>24</v>
      </c>
    </row>
    <row r="588" spans="1:12" x14ac:dyDescent="0.3">
      <c r="A588" s="12">
        <v>587</v>
      </c>
      <c r="B588" s="2">
        <v>40569</v>
      </c>
      <c r="C588" s="12">
        <v>1</v>
      </c>
      <c r="D588" s="12">
        <v>17</v>
      </c>
      <c r="E588" t="b">
        <v>0</v>
      </c>
      <c r="F588" s="12">
        <v>3</v>
      </c>
      <c r="G588" s="12">
        <v>3</v>
      </c>
      <c r="H588" s="9">
        <v>0.2</v>
      </c>
      <c r="I588" t="s">
        <v>23</v>
      </c>
      <c r="J588" t="s">
        <v>22</v>
      </c>
      <c r="K588" t="s">
        <v>14</v>
      </c>
      <c r="L588" t="s">
        <v>24</v>
      </c>
    </row>
    <row r="589" spans="1:12" x14ac:dyDescent="0.3">
      <c r="A589" s="12">
        <v>588</v>
      </c>
      <c r="B589" s="2">
        <v>40570</v>
      </c>
      <c r="C589" s="12">
        <v>1</v>
      </c>
      <c r="D589" s="12">
        <v>16</v>
      </c>
      <c r="E589" t="b">
        <v>0</v>
      </c>
      <c r="F589" s="12">
        <v>4</v>
      </c>
      <c r="G589" s="12">
        <v>1</v>
      </c>
      <c r="H589" s="9">
        <v>0.22</v>
      </c>
      <c r="I589" t="s">
        <v>12</v>
      </c>
      <c r="J589" t="s">
        <v>20</v>
      </c>
      <c r="K589" t="s">
        <v>14</v>
      </c>
      <c r="L589" t="s">
        <v>24</v>
      </c>
    </row>
    <row r="590" spans="1:12" x14ac:dyDescent="0.3">
      <c r="A590" s="12">
        <v>589</v>
      </c>
      <c r="B590" s="2">
        <v>40570</v>
      </c>
      <c r="C590" s="12">
        <v>1</v>
      </c>
      <c r="D590" s="12">
        <v>17</v>
      </c>
      <c r="E590" t="b">
        <v>0</v>
      </c>
      <c r="F590" s="12">
        <v>4</v>
      </c>
      <c r="G590" s="12">
        <v>1</v>
      </c>
      <c r="H590" s="9">
        <v>0.22</v>
      </c>
      <c r="I590" t="s">
        <v>12</v>
      </c>
      <c r="J590" t="s">
        <v>22</v>
      </c>
      <c r="K590" t="s">
        <v>14</v>
      </c>
      <c r="L590" t="s">
        <v>24</v>
      </c>
    </row>
    <row r="591" spans="1:12" x14ac:dyDescent="0.3">
      <c r="A591" s="12">
        <v>590</v>
      </c>
      <c r="B591" s="2">
        <v>40570</v>
      </c>
      <c r="C591" s="12">
        <v>1</v>
      </c>
      <c r="D591" s="12">
        <v>18</v>
      </c>
      <c r="E591" t="b">
        <v>0</v>
      </c>
      <c r="F591" s="12">
        <v>4</v>
      </c>
      <c r="G591" s="12">
        <v>1</v>
      </c>
      <c r="H591" s="9">
        <v>0.2</v>
      </c>
      <c r="I591" t="s">
        <v>12</v>
      </c>
      <c r="J591" t="s">
        <v>22</v>
      </c>
      <c r="K591" t="s">
        <v>14</v>
      </c>
      <c r="L591" t="s">
        <v>24</v>
      </c>
    </row>
    <row r="592" spans="1:12" x14ac:dyDescent="0.3">
      <c r="A592" s="12">
        <v>591</v>
      </c>
      <c r="B592" s="2">
        <v>40570</v>
      </c>
      <c r="C592" s="12">
        <v>1</v>
      </c>
      <c r="D592" s="12">
        <v>19</v>
      </c>
      <c r="E592" t="b">
        <v>0</v>
      </c>
      <c r="F592" s="12">
        <v>4</v>
      </c>
      <c r="G592" s="12">
        <v>1</v>
      </c>
      <c r="H592" s="9">
        <v>0.2</v>
      </c>
      <c r="I592" t="s">
        <v>12</v>
      </c>
      <c r="J592" t="s">
        <v>22</v>
      </c>
      <c r="K592" t="s">
        <v>14</v>
      </c>
      <c r="L592" t="s">
        <v>24</v>
      </c>
    </row>
    <row r="593" spans="1:12" x14ac:dyDescent="0.3">
      <c r="A593" s="12">
        <v>592</v>
      </c>
      <c r="B593" s="2">
        <v>40570</v>
      </c>
      <c r="C593" s="12">
        <v>1</v>
      </c>
      <c r="D593" s="12">
        <v>20</v>
      </c>
      <c r="E593" t="b">
        <v>0</v>
      </c>
      <c r="F593" s="12">
        <v>4</v>
      </c>
      <c r="G593" s="12">
        <v>1</v>
      </c>
      <c r="H593" s="9">
        <v>0.18</v>
      </c>
      <c r="I593" t="s">
        <v>12</v>
      </c>
      <c r="J593" t="s">
        <v>22</v>
      </c>
      <c r="K593" t="s">
        <v>14</v>
      </c>
      <c r="L593" t="s">
        <v>24</v>
      </c>
    </row>
    <row r="594" spans="1:12" x14ac:dyDescent="0.3">
      <c r="A594" s="12">
        <v>593</v>
      </c>
      <c r="B594" s="2">
        <v>40570</v>
      </c>
      <c r="C594" s="12">
        <v>1</v>
      </c>
      <c r="D594" s="12">
        <v>21</v>
      </c>
      <c r="E594" t="b">
        <v>0</v>
      </c>
      <c r="F594" s="12">
        <v>4</v>
      </c>
      <c r="G594" s="12">
        <v>1</v>
      </c>
      <c r="H594" s="9">
        <v>0.18</v>
      </c>
      <c r="I594" t="s">
        <v>12</v>
      </c>
      <c r="J594" t="s">
        <v>13</v>
      </c>
      <c r="K594" t="s">
        <v>14</v>
      </c>
      <c r="L594" t="s">
        <v>24</v>
      </c>
    </row>
    <row r="595" spans="1:12" x14ac:dyDescent="0.3">
      <c r="A595" s="12">
        <v>594</v>
      </c>
      <c r="B595" s="2">
        <v>40570</v>
      </c>
      <c r="C595" s="12">
        <v>1</v>
      </c>
      <c r="D595" s="12">
        <v>22</v>
      </c>
      <c r="E595" t="b">
        <v>0</v>
      </c>
      <c r="F595" s="12">
        <v>4</v>
      </c>
      <c r="G595" s="12">
        <v>1</v>
      </c>
      <c r="H595" s="9">
        <v>0.18</v>
      </c>
      <c r="I595" t="s">
        <v>12</v>
      </c>
      <c r="J595" t="s">
        <v>13</v>
      </c>
      <c r="K595" t="s">
        <v>14</v>
      </c>
      <c r="L595" t="s">
        <v>24</v>
      </c>
    </row>
    <row r="596" spans="1:12" x14ac:dyDescent="0.3">
      <c r="A596" s="12">
        <v>595</v>
      </c>
      <c r="B596" s="2">
        <v>40570</v>
      </c>
      <c r="C596" s="12">
        <v>1</v>
      </c>
      <c r="D596" s="12">
        <v>23</v>
      </c>
      <c r="E596" t="b">
        <v>0</v>
      </c>
      <c r="F596" s="12">
        <v>4</v>
      </c>
      <c r="G596" s="12">
        <v>1</v>
      </c>
      <c r="H596" s="9">
        <v>0.18</v>
      </c>
      <c r="I596" t="s">
        <v>12</v>
      </c>
      <c r="J596" t="s">
        <v>13</v>
      </c>
      <c r="K596" t="s">
        <v>14</v>
      </c>
      <c r="L596" t="s">
        <v>24</v>
      </c>
    </row>
    <row r="597" spans="1:12" x14ac:dyDescent="0.3">
      <c r="A597" s="12">
        <v>596</v>
      </c>
      <c r="B597" s="2">
        <v>40571</v>
      </c>
      <c r="C597" s="12">
        <v>1</v>
      </c>
      <c r="D597" s="12">
        <v>0</v>
      </c>
      <c r="E597" t="b">
        <v>0</v>
      </c>
      <c r="F597" s="12">
        <v>5</v>
      </c>
      <c r="G597" s="12">
        <v>2</v>
      </c>
      <c r="H597" s="9">
        <v>0.2</v>
      </c>
      <c r="I597" t="s">
        <v>16</v>
      </c>
      <c r="J597" t="s">
        <v>13</v>
      </c>
      <c r="K597" t="s">
        <v>14</v>
      </c>
      <c r="L597" t="s">
        <v>24</v>
      </c>
    </row>
    <row r="598" spans="1:12" x14ac:dyDescent="0.3">
      <c r="A598" s="12">
        <v>597</v>
      </c>
      <c r="B598" s="2">
        <v>40571</v>
      </c>
      <c r="C598" s="12">
        <v>1</v>
      </c>
      <c r="D598" s="12">
        <v>1</v>
      </c>
      <c r="E598" t="b">
        <v>0</v>
      </c>
      <c r="F598" s="12">
        <v>5</v>
      </c>
      <c r="G598" s="12">
        <v>2</v>
      </c>
      <c r="H598" s="9">
        <v>0.2</v>
      </c>
      <c r="I598" t="s">
        <v>16</v>
      </c>
      <c r="J598" t="s">
        <v>13</v>
      </c>
      <c r="K598" t="s">
        <v>14</v>
      </c>
      <c r="L598" t="s">
        <v>24</v>
      </c>
    </row>
    <row r="599" spans="1:12" x14ac:dyDescent="0.3">
      <c r="A599" s="12">
        <v>598</v>
      </c>
      <c r="B599" s="2">
        <v>40571</v>
      </c>
      <c r="C599" s="12">
        <v>1</v>
      </c>
      <c r="D599" s="12">
        <v>2</v>
      </c>
      <c r="E599" t="b">
        <v>0</v>
      </c>
      <c r="F599" s="12">
        <v>5</v>
      </c>
      <c r="G599" s="12">
        <v>2</v>
      </c>
      <c r="H599" s="9">
        <v>0.2</v>
      </c>
      <c r="I599" t="s">
        <v>16</v>
      </c>
      <c r="J599" t="s">
        <v>13</v>
      </c>
      <c r="K599" t="s">
        <v>14</v>
      </c>
      <c r="L599" t="s">
        <v>24</v>
      </c>
    </row>
    <row r="600" spans="1:12" x14ac:dyDescent="0.3">
      <c r="A600" s="12">
        <v>599</v>
      </c>
      <c r="B600" s="2">
        <v>40571</v>
      </c>
      <c r="C600" s="12">
        <v>1</v>
      </c>
      <c r="D600" s="12">
        <v>3</v>
      </c>
      <c r="E600" t="b">
        <v>0</v>
      </c>
      <c r="F600" s="12">
        <v>5</v>
      </c>
      <c r="G600" s="12">
        <v>2</v>
      </c>
      <c r="H600" s="9">
        <v>0.2</v>
      </c>
      <c r="I600" t="s">
        <v>16</v>
      </c>
      <c r="J600" t="s">
        <v>13</v>
      </c>
      <c r="K600" t="s">
        <v>14</v>
      </c>
      <c r="L600" t="s">
        <v>24</v>
      </c>
    </row>
    <row r="601" spans="1:12" x14ac:dyDescent="0.3">
      <c r="A601" s="12">
        <v>600</v>
      </c>
      <c r="B601" s="2">
        <v>40571</v>
      </c>
      <c r="C601" s="12">
        <v>1</v>
      </c>
      <c r="D601" s="12">
        <v>5</v>
      </c>
      <c r="E601" t="b">
        <v>0</v>
      </c>
      <c r="F601" s="12">
        <v>5</v>
      </c>
      <c r="G601" s="12">
        <v>2</v>
      </c>
      <c r="H601" s="9">
        <v>0.18</v>
      </c>
      <c r="I601" t="s">
        <v>16</v>
      </c>
      <c r="J601" t="s">
        <v>13</v>
      </c>
      <c r="K601" t="s">
        <v>14</v>
      </c>
      <c r="L601" t="s">
        <v>24</v>
      </c>
    </row>
    <row r="602" spans="1:12" x14ac:dyDescent="0.3">
      <c r="A602" s="12">
        <v>601</v>
      </c>
      <c r="B602" s="2">
        <v>40571</v>
      </c>
      <c r="C602" s="12">
        <v>1</v>
      </c>
      <c r="D602" s="12">
        <v>6</v>
      </c>
      <c r="E602" t="b">
        <v>0</v>
      </c>
      <c r="F602" s="12">
        <v>5</v>
      </c>
      <c r="G602" s="12">
        <v>2</v>
      </c>
      <c r="H602" s="9">
        <v>0.18</v>
      </c>
      <c r="I602" t="s">
        <v>16</v>
      </c>
      <c r="J602" t="s">
        <v>17</v>
      </c>
      <c r="K602" t="s">
        <v>14</v>
      </c>
      <c r="L602" t="s">
        <v>24</v>
      </c>
    </row>
    <row r="603" spans="1:12" x14ac:dyDescent="0.3">
      <c r="A603" s="12">
        <v>602</v>
      </c>
      <c r="B603" s="2">
        <v>40571</v>
      </c>
      <c r="C603" s="12">
        <v>1</v>
      </c>
      <c r="D603" s="12">
        <v>7</v>
      </c>
      <c r="E603" t="b">
        <v>0</v>
      </c>
      <c r="F603" s="12">
        <v>5</v>
      </c>
      <c r="G603" s="12">
        <v>2</v>
      </c>
      <c r="H603" s="9">
        <v>0.16</v>
      </c>
      <c r="I603" t="s">
        <v>16</v>
      </c>
      <c r="J603" t="s">
        <v>17</v>
      </c>
      <c r="K603" t="s">
        <v>14</v>
      </c>
      <c r="L603" t="s">
        <v>24</v>
      </c>
    </row>
    <row r="604" spans="1:12" x14ac:dyDescent="0.3">
      <c r="A604" s="12">
        <v>603</v>
      </c>
      <c r="B604" s="2">
        <v>40571</v>
      </c>
      <c r="C604" s="12">
        <v>1</v>
      </c>
      <c r="D604" s="12">
        <v>8</v>
      </c>
      <c r="E604" t="b">
        <v>0</v>
      </c>
      <c r="F604" s="12">
        <v>5</v>
      </c>
      <c r="G604" s="12">
        <v>2</v>
      </c>
      <c r="H604" s="9">
        <v>0.16</v>
      </c>
      <c r="I604" t="s">
        <v>16</v>
      </c>
      <c r="J604" t="s">
        <v>17</v>
      </c>
      <c r="K604" t="s">
        <v>14</v>
      </c>
      <c r="L604" t="s">
        <v>24</v>
      </c>
    </row>
    <row r="605" spans="1:12" x14ac:dyDescent="0.3">
      <c r="A605" s="12">
        <v>604</v>
      </c>
      <c r="B605" s="2">
        <v>40571</v>
      </c>
      <c r="C605" s="12">
        <v>1</v>
      </c>
      <c r="D605" s="12">
        <v>9</v>
      </c>
      <c r="E605" t="b">
        <v>0</v>
      </c>
      <c r="F605" s="12">
        <v>5</v>
      </c>
      <c r="G605" s="12">
        <v>3</v>
      </c>
      <c r="H605" s="9">
        <v>0.18</v>
      </c>
      <c r="I605" t="s">
        <v>23</v>
      </c>
      <c r="J605" t="s">
        <v>17</v>
      </c>
      <c r="K605" t="s">
        <v>14</v>
      </c>
      <c r="L605" t="s">
        <v>24</v>
      </c>
    </row>
    <row r="606" spans="1:12" x14ac:dyDescent="0.3">
      <c r="A606" s="12">
        <v>605</v>
      </c>
      <c r="B606" s="2">
        <v>40571</v>
      </c>
      <c r="C606" s="12">
        <v>1</v>
      </c>
      <c r="D606" s="12">
        <v>10</v>
      </c>
      <c r="E606" t="b">
        <v>0</v>
      </c>
      <c r="F606" s="12">
        <v>5</v>
      </c>
      <c r="G606" s="12">
        <v>3</v>
      </c>
      <c r="H606" s="9">
        <v>0.18</v>
      </c>
      <c r="I606" t="s">
        <v>23</v>
      </c>
      <c r="J606" t="s">
        <v>17</v>
      </c>
      <c r="K606" t="s">
        <v>14</v>
      </c>
      <c r="L606" t="s">
        <v>24</v>
      </c>
    </row>
    <row r="607" spans="1:12" x14ac:dyDescent="0.3">
      <c r="A607" s="12">
        <v>606</v>
      </c>
      <c r="B607" s="2">
        <v>40571</v>
      </c>
      <c r="C607" s="12">
        <v>1</v>
      </c>
      <c r="D607" s="12">
        <v>11</v>
      </c>
      <c r="E607" t="b">
        <v>0</v>
      </c>
      <c r="F607" s="12">
        <v>5</v>
      </c>
      <c r="G607" s="12">
        <v>3</v>
      </c>
      <c r="H607" s="9">
        <v>0.18</v>
      </c>
      <c r="I607" t="s">
        <v>23</v>
      </c>
      <c r="J607" t="s">
        <v>17</v>
      </c>
      <c r="K607" t="s">
        <v>14</v>
      </c>
      <c r="L607" t="s">
        <v>24</v>
      </c>
    </row>
    <row r="608" spans="1:12" x14ac:dyDescent="0.3">
      <c r="A608" s="12">
        <v>607</v>
      </c>
      <c r="B608" s="2">
        <v>40571</v>
      </c>
      <c r="C608" s="12">
        <v>1</v>
      </c>
      <c r="D608" s="12">
        <v>12</v>
      </c>
      <c r="E608" t="b">
        <v>0</v>
      </c>
      <c r="F608" s="12">
        <v>5</v>
      </c>
      <c r="G608" s="12">
        <v>3</v>
      </c>
      <c r="H608" s="9">
        <v>0.18</v>
      </c>
      <c r="I608" t="s">
        <v>23</v>
      </c>
      <c r="J608" t="s">
        <v>20</v>
      </c>
      <c r="K608" t="s">
        <v>14</v>
      </c>
      <c r="L608" t="s">
        <v>24</v>
      </c>
    </row>
    <row r="609" spans="1:12" x14ac:dyDescent="0.3">
      <c r="A609" s="12">
        <v>608</v>
      </c>
      <c r="B609" s="2">
        <v>40571</v>
      </c>
      <c r="C609" s="12">
        <v>1</v>
      </c>
      <c r="D609" s="12">
        <v>13</v>
      </c>
      <c r="E609" t="b">
        <v>0</v>
      </c>
      <c r="F609" s="12">
        <v>5</v>
      </c>
      <c r="G609" s="12">
        <v>3</v>
      </c>
      <c r="H609" s="9">
        <v>0.18</v>
      </c>
      <c r="I609" t="s">
        <v>23</v>
      </c>
      <c r="J609" t="s">
        <v>20</v>
      </c>
      <c r="K609" t="s">
        <v>14</v>
      </c>
      <c r="L609" t="s">
        <v>24</v>
      </c>
    </row>
    <row r="610" spans="1:12" x14ac:dyDescent="0.3">
      <c r="A610" s="12">
        <v>609</v>
      </c>
      <c r="B610" s="2">
        <v>40571</v>
      </c>
      <c r="C610" s="12">
        <v>1</v>
      </c>
      <c r="D610" s="12">
        <v>14</v>
      </c>
      <c r="E610" t="b">
        <v>0</v>
      </c>
      <c r="F610" s="12">
        <v>5</v>
      </c>
      <c r="G610" s="12">
        <v>3</v>
      </c>
      <c r="H610" s="9">
        <v>0.22</v>
      </c>
      <c r="I610" t="s">
        <v>23</v>
      </c>
      <c r="J610" t="s">
        <v>20</v>
      </c>
      <c r="K610" t="s">
        <v>14</v>
      </c>
      <c r="L610" t="s">
        <v>24</v>
      </c>
    </row>
    <row r="611" spans="1:12" x14ac:dyDescent="0.3">
      <c r="A611" s="12">
        <v>610</v>
      </c>
      <c r="B611" s="2">
        <v>40571</v>
      </c>
      <c r="C611" s="12">
        <v>1</v>
      </c>
      <c r="D611" s="12">
        <v>15</v>
      </c>
      <c r="E611" t="b">
        <v>0</v>
      </c>
      <c r="F611" s="12">
        <v>5</v>
      </c>
      <c r="G611" s="12">
        <v>2</v>
      </c>
      <c r="H611" s="9">
        <v>0.2</v>
      </c>
      <c r="I611" t="s">
        <v>16</v>
      </c>
      <c r="J611" t="s">
        <v>20</v>
      </c>
      <c r="K611" t="s">
        <v>14</v>
      </c>
      <c r="L611" t="s">
        <v>24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04A5F-8CB0-41E6-8E27-D658B5B0F6C2}">
  <dimension ref="A1:I69"/>
  <sheetViews>
    <sheetView zoomScale="85" zoomScaleNormal="85" workbookViewId="0">
      <selection activeCell="J34" sqref="J34"/>
    </sheetView>
  </sheetViews>
  <sheetFormatPr defaultRowHeight="14.4" x14ac:dyDescent="0.3"/>
  <cols>
    <col min="1" max="1" width="18.88671875" style="3" bestFit="1" customWidth="1"/>
    <col min="2" max="2" width="22.88671875" style="3" bestFit="1" customWidth="1"/>
    <col min="3" max="3" width="18.21875" style="3" bestFit="1" customWidth="1"/>
    <col min="4" max="4" width="13.44140625" style="3" bestFit="1" customWidth="1"/>
    <col min="5" max="5" width="18.88671875" style="3" bestFit="1" customWidth="1"/>
    <col min="6" max="6" width="19.21875" style="3" bestFit="1" customWidth="1"/>
    <col min="7" max="7" width="26.88671875" style="3" bestFit="1" customWidth="1"/>
    <col min="8" max="8" width="13.44140625" style="3" bestFit="1" customWidth="1"/>
    <col min="9" max="9" width="22.88671875" style="3" bestFit="1" customWidth="1"/>
    <col min="10" max="16384" width="8.88671875" style="3"/>
  </cols>
  <sheetData>
    <row r="1" s="3" customFormat="1" x14ac:dyDescent="0.3"/>
    <row r="2" s="3" customFormat="1" x14ac:dyDescent="0.3"/>
    <row r="3" s="3" customFormat="1" x14ac:dyDescent="0.3"/>
    <row r="4" s="3" customFormat="1" x14ac:dyDescent="0.3"/>
    <row r="5" s="3" customFormat="1" x14ac:dyDescent="0.3"/>
    <row r="6" s="3" customFormat="1" x14ac:dyDescent="0.3"/>
    <row r="7" s="3" customFormat="1" x14ac:dyDescent="0.3"/>
    <row r="8" s="3" customFormat="1" x14ac:dyDescent="0.3"/>
    <row r="9" s="3" customFormat="1" x14ac:dyDescent="0.3"/>
    <row r="10" s="3" customFormat="1" x14ac:dyDescent="0.3"/>
    <row r="11" s="3" customFormat="1" x14ac:dyDescent="0.3"/>
    <row r="12" s="3" customFormat="1" x14ac:dyDescent="0.3"/>
    <row r="13" s="3" customFormat="1" x14ac:dyDescent="0.3"/>
    <row r="14" s="3" customFormat="1" x14ac:dyDescent="0.3"/>
    <row r="15" s="3" customFormat="1" x14ac:dyDescent="0.3"/>
    <row r="16" s="3" customFormat="1" x14ac:dyDescent="0.3"/>
    <row r="17" s="3" customFormat="1" x14ac:dyDescent="0.3"/>
    <row r="18" s="3" customFormat="1" x14ac:dyDescent="0.3"/>
    <row r="19" s="3" customFormat="1" x14ac:dyDescent="0.3"/>
    <row r="20" s="3" customFormat="1" x14ac:dyDescent="0.3"/>
    <row r="21" s="3" customFormat="1" x14ac:dyDescent="0.3"/>
    <row r="22" s="3" customFormat="1" x14ac:dyDescent="0.3"/>
    <row r="23" s="3" customFormat="1" x14ac:dyDescent="0.3"/>
    <row r="24" s="3" customFormat="1" x14ac:dyDescent="0.3"/>
    <row r="25" s="3" customFormat="1" x14ac:dyDescent="0.3"/>
    <row r="26" s="3" customFormat="1" x14ac:dyDescent="0.3"/>
    <row r="27" s="3" customFormat="1" x14ac:dyDescent="0.3"/>
    <row r="28" s="3" customFormat="1" x14ac:dyDescent="0.3"/>
    <row r="29" s="3" customFormat="1" x14ac:dyDescent="0.3"/>
    <row r="30" s="3" customFormat="1" x14ac:dyDescent="0.3"/>
    <row r="31" s="3" customFormat="1" x14ac:dyDescent="0.3"/>
    <row r="32" s="3" customFormat="1" x14ac:dyDescent="0.3"/>
    <row r="40" spans="1:9" x14ac:dyDescent="0.3">
      <c r="A40" s="4" t="s">
        <v>30</v>
      </c>
      <c r="B40" t="s">
        <v>29</v>
      </c>
      <c r="D40" s="4" t="s">
        <v>27</v>
      </c>
      <c r="E40" t="s">
        <v>31</v>
      </c>
      <c r="F40" t="s">
        <v>32</v>
      </c>
      <c r="H40" s="4" t="s">
        <v>27</v>
      </c>
      <c r="I40" t="s">
        <v>29</v>
      </c>
    </row>
    <row r="41" spans="1:9" x14ac:dyDescent="0.3">
      <c r="A41" s="5" t="s">
        <v>12</v>
      </c>
      <c r="B41">
        <v>0.18065217391304317</v>
      </c>
      <c r="D41" s="7">
        <v>40544</v>
      </c>
      <c r="E41">
        <v>0.2</v>
      </c>
      <c r="F41">
        <v>0.46</v>
      </c>
      <c r="H41" s="5" t="s">
        <v>20</v>
      </c>
      <c r="I41">
        <v>0.23762962962962941</v>
      </c>
    </row>
    <row r="42" spans="1:9" x14ac:dyDescent="0.3">
      <c r="A42" s="6" t="s">
        <v>14</v>
      </c>
      <c r="B42">
        <v>0.19889502762430891</v>
      </c>
      <c r="D42" s="7">
        <v>40545</v>
      </c>
      <c r="E42">
        <v>0.22</v>
      </c>
      <c r="F42">
        <v>0.46</v>
      </c>
      <c r="H42" s="5" t="s">
        <v>22</v>
      </c>
      <c r="I42">
        <v>0.21180952380952389</v>
      </c>
    </row>
    <row r="43" spans="1:9" x14ac:dyDescent="0.3">
      <c r="A43" s="6" t="s">
        <v>18</v>
      </c>
      <c r="B43">
        <v>0.28083333333333332</v>
      </c>
      <c r="D43" s="7">
        <v>40546</v>
      </c>
      <c r="E43">
        <v>0.14000000000000001</v>
      </c>
      <c r="F43">
        <v>0.26</v>
      </c>
      <c r="H43" s="5" t="s">
        <v>17</v>
      </c>
      <c r="I43">
        <v>0.17833333333333307</v>
      </c>
    </row>
    <row r="44" spans="1:9" x14ac:dyDescent="0.3">
      <c r="A44" s="6" t="s">
        <v>25</v>
      </c>
      <c r="B44">
        <v>0.10610687022900755</v>
      </c>
      <c r="D44" s="7">
        <v>40547</v>
      </c>
      <c r="E44">
        <v>0.12</v>
      </c>
      <c r="F44">
        <v>0.3</v>
      </c>
      <c r="H44" s="5" t="s">
        <v>13</v>
      </c>
      <c r="I44">
        <v>0.17738317757009356</v>
      </c>
    </row>
    <row r="45" spans="1:9" x14ac:dyDescent="0.3">
      <c r="A45" s="6" t="s">
        <v>19</v>
      </c>
      <c r="B45">
        <v>0.38749999999999996</v>
      </c>
      <c r="D45" s="7">
        <v>40548</v>
      </c>
      <c r="E45">
        <v>0.16</v>
      </c>
      <c r="F45">
        <v>0.3</v>
      </c>
      <c r="H45" s="5" t="s">
        <v>28</v>
      </c>
      <c r="I45">
        <v>0.19688524590163939</v>
      </c>
    </row>
    <row r="46" spans="1:9" x14ac:dyDescent="0.3">
      <c r="A46" s="5" t="s">
        <v>26</v>
      </c>
      <c r="B46">
        <v>0.22</v>
      </c>
      <c r="D46" s="7">
        <v>40549</v>
      </c>
      <c r="E46">
        <v>0.14000000000000001</v>
      </c>
      <c r="F46">
        <v>0.28000000000000003</v>
      </c>
    </row>
    <row r="47" spans="1:9" x14ac:dyDescent="0.3">
      <c r="A47" s="6" t="s">
        <v>14</v>
      </c>
      <c r="B47">
        <v>0.22</v>
      </c>
      <c r="D47" s="7">
        <v>40550</v>
      </c>
      <c r="E47">
        <v>0.16</v>
      </c>
      <c r="F47">
        <v>0.22</v>
      </c>
    </row>
    <row r="48" spans="1:9" x14ac:dyDescent="0.3">
      <c r="A48" s="5" t="s">
        <v>23</v>
      </c>
      <c r="B48">
        <v>0.22127659574468081</v>
      </c>
      <c r="D48" s="7">
        <v>40551</v>
      </c>
      <c r="E48">
        <v>0.1</v>
      </c>
      <c r="F48">
        <v>0.2</v>
      </c>
    </row>
    <row r="49" spans="1:6" x14ac:dyDescent="0.3">
      <c r="A49" s="6" t="s">
        <v>14</v>
      </c>
      <c r="B49">
        <v>0.19384615384615378</v>
      </c>
      <c r="D49" s="7">
        <v>40552</v>
      </c>
      <c r="E49">
        <v>0.08</v>
      </c>
      <c r="F49">
        <v>0.22</v>
      </c>
    </row>
    <row r="50" spans="1:6" x14ac:dyDescent="0.3">
      <c r="A50" s="6" t="s">
        <v>18</v>
      </c>
      <c r="B50">
        <v>0.34</v>
      </c>
      <c r="D50" s="7">
        <v>40553</v>
      </c>
      <c r="E50">
        <v>0.1</v>
      </c>
      <c r="F50">
        <v>0.2</v>
      </c>
    </row>
    <row r="51" spans="1:6" x14ac:dyDescent="0.3">
      <c r="A51" s="6" t="s">
        <v>25</v>
      </c>
      <c r="B51">
        <v>0.14000000000000001</v>
      </c>
      <c r="D51" s="7">
        <v>40554</v>
      </c>
      <c r="E51">
        <v>0.14000000000000001</v>
      </c>
      <c r="F51">
        <v>0.2</v>
      </c>
    </row>
    <row r="52" spans="1:6" x14ac:dyDescent="0.3">
      <c r="A52" s="6" t="s">
        <v>19</v>
      </c>
      <c r="B52">
        <v>0.40400000000000003</v>
      </c>
      <c r="D52" s="7">
        <v>40555</v>
      </c>
      <c r="E52">
        <v>0.12</v>
      </c>
      <c r="F52">
        <v>0.22</v>
      </c>
    </row>
    <row r="53" spans="1:6" x14ac:dyDescent="0.3">
      <c r="A53" s="5" t="s">
        <v>16</v>
      </c>
      <c r="B53">
        <v>0.22164948453608221</v>
      </c>
      <c r="D53" s="7">
        <v>40556</v>
      </c>
      <c r="E53">
        <v>0.12</v>
      </c>
      <c r="F53">
        <v>0.24</v>
      </c>
    </row>
    <row r="54" spans="1:6" x14ac:dyDescent="0.3">
      <c r="A54" s="6" t="s">
        <v>14</v>
      </c>
      <c r="B54">
        <v>0.19327999999999965</v>
      </c>
      <c r="D54" s="7">
        <v>40557</v>
      </c>
      <c r="E54">
        <v>0.1</v>
      </c>
      <c r="F54">
        <v>0.24</v>
      </c>
    </row>
    <row r="55" spans="1:6" x14ac:dyDescent="0.3">
      <c r="A55" s="6" t="s">
        <v>21</v>
      </c>
      <c r="B55">
        <v>0.46</v>
      </c>
      <c r="D55" s="7">
        <v>40558</v>
      </c>
      <c r="E55">
        <v>0.14000000000000001</v>
      </c>
      <c r="F55">
        <v>0.34</v>
      </c>
    </row>
    <row r="56" spans="1:6" x14ac:dyDescent="0.3">
      <c r="A56" s="6" t="s">
        <v>18</v>
      </c>
      <c r="B56">
        <v>0.29379310344827586</v>
      </c>
      <c r="D56" s="7">
        <v>40559</v>
      </c>
      <c r="E56">
        <v>0.18</v>
      </c>
      <c r="F56">
        <v>0.28000000000000003</v>
      </c>
    </row>
    <row r="57" spans="1:6" x14ac:dyDescent="0.3">
      <c r="A57" s="6" t="s">
        <v>25</v>
      </c>
      <c r="B57">
        <v>8.5263157894736874E-2</v>
      </c>
      <c r="D57" s="7">
        <v>40560</v>
      </c>
      <c r="E57">
        <v>0.14000000000000001</v>
      </c>
      <c r="F57">
        <v>0.2</v>
      </c>
    </row>
    <row r="58" spans="1:6" x14ac:dyDescent="0.3">
      <c r="A58" s="6" t="s">
        <v>19</v>
      </c>
      <c r="B58">
        <v>0.39600000000000007</v>
      </c>
      <c r="D58" s="7">
        <v>40561</v>
      </c>
      <c r="E58">
        <v>0.2</v>
      </c>
      <c r="F58">
        <v>0.22</v>
      </c>
    </row>
    <row r="59" spans="1:6" x14ac:dyDescent="0.3">
      <c r="A59" s="5" t="s">
        <v>28</v>
      </c>
      <c r="B59">
        <v>0.19688524590163928</v>
      </c>
      <c r="D59" s="7">
        <v>40562</v>
      </c>
      <c r="E59">
        <v>0.22</v>
      </c>
      <c r="F59">
        <v>0.4</v>
      </c>
    </row>
    <row r="60" spans="1:6" x14ac:dyDescent="0.3">
      <c r="D60" s="7">
        <v>40563</v>
      </c>
      <c r="E60">
        <v>0.22</v>
      </c>
      <c r="F60">
        <v>0.32</v>
      </c>
    </row>
    <row r="61" spans="1:6" x14ac:dyDescent="0.3">
      <c r="D61" s="7">
        <v>40564</v>
      </c>
      <c r="E61">
        <v>0.06</v>
      </c>
      <c r="F61">
        <v>0.24</v>
      </c>
    </row>
    <row r="62" spans="1:6" x14ac:dyDescent="0.3">
      <c r="D62" s="7">
        <v>40565</v>
      </c>
      <c r="E62">
        <v>0.02</v>
      </c>
      <c r="F62">
        <v>0.12</v>
      </c>
    </row>
    <row r="63" spans="1:6" x14ac:dyDescent="0.3">
      <c r="D63" s="7">
        <v>40566</v>
      </c>
      <c r="E63">
        <v>0.02</v>
      </c>
      <c r="F63">
        <v>0.16</v>
      </c>
    </row>
    <row r="64" spans="1:6" x14ac:dyDescent="0.3">
      <c r="D64" s="7">
        <v>40567</v>
      </c>
      <c r="E64">
        <v>0.02</v>
      </c>
      <c r="F64">
        <v>0.16</v>
      </c>
    </row>
    <row r="65" spans="4:6" x14ac:dyDescent="0.3">
      <c r="D65" s="7">
        <v>40568</v>
      </c>
      <c r="E65">
        <v>0.14000000000000001</v>
      </c>
      <c r="F65">
        <v>0.32</v>
      </c>
    </row>
    <row r="66" spans="4:6" x14ac:dyDescent="0.3">
      <c r="D66" s="7">
        <v>40569</v>
      </c>
      <c r="E66">
        <v>0.2</v>
      </c>
      <c r="F66">
        <v>0.24</v>
      </c>
    </row>
    <row r="67" spans="4:6" x14ac:dyDescent="0.3">
      <c r="D67" s="7">
        <v>40570</v>
      </c>
      <c r="E67">
        <v>0.18</v>
      </c>
      <c r="F67">
        <v>0.22</v>
      </c>
    </row>
    <row r="68" spans="4:6" x14ac:dyDescent="0.3">
      <c r="D68" s="7">
        <v>40571</v>
      </c>
      <c r="E68">
        <v>0.16</v>
      </c>
      <c r="F68">
        <v>0.22</v>
      </c>
    </row>
    <row r="69" spans="4:6" x14ac:dyDescent="0.3">
      <c r="D69" s="7" t="s">
        <v>28</v>
      </c>
      <c r="E69">
        <v>0.02</v>
      </c>
      <c r="F69">
        <v>0.46</v>
      </c>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0B453-8C4F-4618-A659-924486B3DCFC}">
  <dimension ref="A1:E38"/>
  <sheetViews>
    <sheetView zoomScale="98" workbookViewId="0">
      <selection activeCell="J24" sqref="J24"/>
    </sheetView>
  </sheetViews>
  <sheetFormatPr defaultRowHeight="14.4" x14ac:dyDescent="0.3"/>
  <cols>
    <col min="1" max="1" width="10.33203125" bestFit="1" customWidth="1"/>
    <col min="2" max="2" width="13.44140625" customWidth="1"/>
    <col min="3" max="3" width="21.77734375" customWidth="1"/>
    <col min="4" max="4" width="35.88671875" customWidth="1"/>
    <col min="5" max="5" width="36" customWidth="1"/>
  </cols>
  <sheetData>
    <row r="1" spans="1:5" x14ac:dyDescent="0.3">
      <c r="A1" t="s">
        <v>1</v>
      </c>
      <c r="B1" t="s">
        <v>7</v>
      </c>
      <c r="C1" t="s">
        <v>33</v>
      </c>
      <c r="D1" t="s">
        <v>34</v>
      </c>
      <c r="E1" t="s">
        <v>35</v>
      </c>
    </row>
    <row r="2" spans="1:5" x14ac:dyDescent="0.3">
      <c r="A2" s="8">
        <v>40544</v>
      </c>
      <c r="B2">
        <v>0.34416666666666673</v>
      </c>
    </row>
    <row r="3" spans="1:5" x14ac:dyDescent="0.3">
      <c r="A3" s="8">
        <v>40545</v>
      </c>
      <c r="B3">
        <v>0.36347826086956525</v>
      </c>
    </row>
    <row r="4" spans="1:5" x14ac:dyDescent="0.3">
      <c r="A4" s="8">
        <v>40546</v>
      </c>
      <c r="B4">
        <v>0.19636363636363641</v>
      </c>
    </row>
    <row r="5" spans="1:5" x14ac:dyDescent="0.3">
      <c r="A5" s="8">
        <v>40547</v>
      </c>
      <c r="B5">
        <v>0.2</v>
      </c>
    </row>
    <row r="6" spans="1:5" x14ac:dyDescent="0.3">
      <c r="A6" s="8">
        <v>40548</v>
      </c>
      <c r="B6">
        <v>0.22695652173913047</v>
      </c>
    </row>
    <row r="7" spans="1:5" x14ac:dyDescent="0.3">
      <c r="A7" s="8">
        <v>40549</v>
      </c>
      <c r="B7">
        <v>0.20434782608695656</v>
      </c>
    </row>
    <row r="8" spans="1:5" x14ac:dyDescent="0.3">
      <c r="A8" s="8">
        <v>40550</v>
      </c>
      <c r="B8">
        <v>0.19652173913043489</v>
      </c>
    </row>
    <row r="9" spans="1:5" x14ac:dyDescent="0.3">
      <c r="A9" s="8">
        <v>40551</v>
      </c>
      <c r="B9">
        <v>0.16500000000000006</v>
      </c>
    </row>
    <row r="10" spans="1:5" x14ac:dyDescent="0.3">
      <c r="A10" s="8">
        <v>40552</v>
      </c>
      <c r="B10">
        <v>0.13833333333333339</v>
      </c>
    </row>
    <row r="11" spans="1:5" x14ac:dyDescent="0.3">
      <c r="A11" s="8">
        <v>40553</v>
      </c>
      <c r="B11">
        <v>0.1508333333333334</v>
      </c>
    </row>
    <row r="12" spans="1:5" x14ac:dyDescent="0.3">
      <c r="A12" s="8">
        <v>40554</v>
      </c>
      <c r="B12">
        <v>0.16909090909090915</v>
      </c>
    </row>
    <row r="13" spans="1:5" x14ac:dyDescent="0.3">
      <c r="A13" s="8">
        <v>40555</v>
      </c>
      <c r="B13">
        <v>0.17272727272727281</v>
      </c>
    </row>
    <row r="14" spans="1:5" x14ac:dyDescent="0.3">
      <c r="A14" s="8">
        <v>40556</v>
      </c>
      <c r="B14">
        <v>0.16500000000000006</v>
      </c>
    </row>
    <row r="15" spans="1:5" x14ac:dyDescent="0.3">
      <c r="A15" s="8">
        <v>40557</v>
      </c>
      <c r="B15">
        <v>0.16086956521739137</v>
      </c>
    </row>
    <row r="16" spans="1:5" x14ac:dyDescent="0.3">
      <c r="A16" s="8">
        <v>40558</v>
      </c>
      <c r="B16">
        <v>0.23333333333333331</v>
      </c>
    </row>
    <row r="17" spans="1:5" x14ac:dyDescent="0.3">
      <c r="A17" s="8">
        <v>40559</v>
      </c>
      <c r="B17">
        <v>0.2316666666666666</v>
      </c>
    </row>
    <row r="18" spans="1:5" x14ac:dyDescent="0.3">
      <c r="A18" s="8">
        <v>40560</v>
      </c>
      <c r="B18">
        <v>0.1758333333333334</v>
      </c>
    </row>
    <row r="19" spans="1:5" x14ac:dyDescent="0.3">
      <c r="A19" s="8">
        <v>40561</v>
      </c>
      <c r="B19">
        <v>0.2166666666666667</v>
      </c>
    </row>
    <row r="20" spans="1:5" x14ac:dyDescent="0.3">
      <c r="A20" s="8">
        <v>40562</v>
      </c>
      <c r="B20">
        <v>0.29217391304347823</v>
      </c>
    </row>
    <row r="21" spans="1:5" x14ac:dyDescent="0.3">
      <c r="A21" s="8">
        <v>40563</v>
      </c>
      <c r="B21">
        <v>0.2616666666666666</v>
      </c>
    </row>
    <row r="22" spans="1:5" x14ac:dyDescent="0.3">
      <c r="A22" s="8">
        <v>40564</v>
      </c>
      <c r="B22">
        <v>0.17750000000000007</v>
      </c>
    </row>
    <row r="23" spans="1:5" x14ac:dyDescent="0.3">
      <c r="A23" s="8">
        <v>40565</v>
      </c>
      <c r="B23">
        <v>5.913043478260871E-2</v>
      </c>
    </row>
    <row r="24" spans="1:5" x14ac:dyDescent="0.3">
      <c r="A24" s="8">
        <v>40566</v>
      </c>
      <c r="B24">
        <v>9.6521739130434797E-2</v>
      </c>
    </row>
    <row r="25" spans="1:5" x14ac:dyDescent="0.3">
      <c r="A25" s="8">
        <v>40567</v>
      </c>
      <c r="B25">
        <v>9.7391304347826113E-2</v>
      </c>
    </row>
    <row r="26" spans="1:5" x14ac:dyDescent="0.3">
      <c r="A26" s="8">
        <v>40568</v>
      </c>
      <c r="B26">
        <v>0.22347826086956521</v>
      </c>
    </row>
    <row r="27" spans="1:5" x14ac:dyDescent="0.3">
      <c r="A27" s="8">
        <v>40569</v>
      </c>
      <c r="B27">
        <v>0.21750000000000005</v>
      </c>
    </row>
    <row r="28" spans="1:5" x14ac:dyDescent="0.3">
      <c r="A28" s="8">
        <v>40570</v>
      </c>
      <c r="B28">
        <v>0.19499999999999998</v>
      </c>
    </row>
    <row r="29" spans="1:5" x14ac:dyDescent="0.3">
      <c r="A29" s="8">
        <v>40571</v>
      </c>
      <c r="B29">
        <v>0.18666666666666668</v>
      </c>
      <c r="C29">
        <v>0.18666666666666668</v>
      </c>
      <c r="D29" s="9">
        <v>0.18666666666666668</v>
      </c>
      <c r="E29" s="9">
        <v>0.18666666666666668</v>
      </c>
    </row>
    <row r="30" spans="1:5" x14ac:dyDescent="0.3">
      <c r="A30" s="8">
        <v>40572</v>
      </c>
      <c r="C30">
        <f t="shared" ref="C30:C38" si="0">_xlfn.FORECAST.ETS(A30,$B$2:$B$29,$A$2:$A$29,1,1)</f>
        <v>0.18582042461639708</v>
      </c>
      <c r="D30" s="9">
        <f t="shared" ref="D30:D38" si="1">C30-_xlfn.FORECAST.ETS.CONFINT(A30,$B$2:$B$29,$A$2:$A$29,0.95,1,1)</f>
        <v>7.4293565632301828E-2</v>
      </c>
      <c r="E30" s="9">
        <f t="shared" ref="E30:E38" si="2">C30+_xlfn.FORECAST.ETS.CONFINT(A30,$B$2:$B$29,$A$2:$A$29,0.95,1,1)</f>
        <v>0.29734728360049234</v>
      </c>
    </row>
    <row r="31" spans="1:5" x14ac:dyDescent="0.3">
      <c r="A31" s="8">
        <v>40573</v>
      </c>
      <c r="C31">
        <f t="shared" si="0"/>
        <v>0.18286707003909897</v>
      </c>
      <c r="D31" s="9">
        <f t="shared" si="1"/>
        <v>4.3391551656414312E-2</v>
      </c>
      <c r="E31" s="9">
        <f t="shared" si="2"/>
        <v>0.32234258842178365</v>
      </c>
    </row>
    <row r="32" spans="1:5" x14ac:dyDescent="0.3">
      <c r="A32" s="8">
        <v>40574</v>
      </c>
      <c r="C32">
        <f t="shared" si="0"/>
        <v>0.17991371546180088</v>
      </c>
      <c r="D32" s="9">
        <f t="shared" si="1"/>
        <v>1.7164537717297174E-2</v>
      </c>
      <c r="E32" s="9">
        <f t="shared" si="2"/>
        <v>0.34266289320630461</v>
      </c>
    </row>
    <row r="33" spans="1:5" x14ac:dyDescent="0.3">
      <c r="A33" s="8">
        <v>40575</v>
      </c>
      <c r="C33">
        <f t="shared" si="0"/>
        <v>0.17696036088450279</v>
      </c>
      <c r="D33" s="9">
        <f t="shared" si="1"/>
        <v>-6.1786274181499234E-3</v>
      </c>
      <c r="E33" s="9">
        <f t="shared" si="2"/>
        <v>0.36009934918715547</v>
      </c>
    </row>
    <row r="34" spans="1:5" x14ac:dyDescent="0.3">
      <c r="A34" s="8">
        <v>40576</v>
      </c>
      <c r="C34">
        <f t="shared" si="0"/>
        <v>0.17400700630720467</v>
      </c>
      <c r="D34" s="9">
        <f t="shared" si="1"/>
        <v>-2.7515269495299366E-2</v>
      </c>
      <c r="E34" s="9">
        <f t="shared" si="2"/>
        <v>0.37552928210970871</v>
      </c>
    </row>
    <row r="35" spans="1:5" x14ac:dyDescent="0.3">
      <c r="A35" s="8">
        <v>40577</v>
      </c>
      <c r="C35">
        <f t="shared" si="0"/>
        <v>0.17105365172990658</v>
      </c>
      <c r="D35" s="9">
        <f t="shared" si="1"/>
        <v>-4.735270247549786E-2</v>
      </c>
      <c r="E35" s="9">
        <f t="shared" si="2"/>
        <v>0.38946000593531105</v>
      </c>
    </row>
    <row r="36" spans="1:5" x14ac:dyDescent="0.3">
      <c r="A36" s="8">
        <v>40578</v>
      </c>
      <c r="C36">
        <f t="shared" si="0"/>
        <v>0.16810029715260846</v>
      </c>
      <c r="D36" s="9">
        <f t="shared" si="1"/>
        <v>-6.6015566579493173E-2</v>
      </c>
      <c r="E36" s="9">
        <f t="shared" si="2"/>
        <v>0.40221616088471013</v>
      </c>
    </row>
    <row r="37" spans="1:5" x14ac:dyDescent="0.3">
      <c r="A37" s="8">
        <v>40579</v>
      </c>
      <c r="C37">
        <f t="shared" si="0"/>
        <v>0.16514694257531037</v>
      </c>
      <c r="D37" s="9">
        <f t="shared" si="1"/>
        <v>-8.3726436479773042E-2</v>
      </c>
      <c r="E37" s="9">
        <f t="shared" si="2"/>
        <v>0.41402032163039382</v>
      </c>
    </row>
    <row r="38" spans="1:5" x14ac:dyDescent="0.3">
      <c r="A38" s="8">
        <v>40580</v>
      </c>
      <c r="C38">
        <f t="shared" si="0"/>
        <v>0.16219358799801228</v>
      </c>
      <c r="D38" s="9">
        <f t="shared" si="1"/>
        <v>-0.1006457619623369</v>
      </c>
      <c r="E38" s="9">
        <f t="shared" si="2"/>
        <v>0.4250329379583615</v>
      </c>
    </row>
  </sheetData>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Dataset_1</vt:lpstr>
      <vt:lpstr>Modified_Dataset_1</vt:lpstr>
      <vt:lpstr>Analysis</vt:lpstr>
      <vt:lpstr>Forecast_Sheet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GAMERZONE</dc:creator>
  <cp:lastModifiedBy>Rajwin George</cp:lastModifiedBy>
  <dcterms:created xsi:type="dcterms:W3CDTF">2015-06-05T18:17:20Z</dcterms:created>
  <dcterms:modified xsi:type="dcterms:W3CDTF">2026-07-25T03:28:23Z</dcterms:modified>
</cp:coreProperties>
</file>